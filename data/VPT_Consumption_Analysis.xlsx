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_Dashboard" sheetId="2" state="visible" r:id="rId2"/>
    <sheet xmlns:r="http://schemas.openxmlformats.org/officeDocument/2006/relationships" name="Trend_Monthly" sheetId="3" state="visible" r:id="rId3"/>
    <sheet xmlns:r="http://schemas.openxmlformats.org/officeDocument/2006/relationships" name="Project_Analysis" sheetId="4" state="visible" r:id="rId4"/>
    <sheet xmlns:r="http://schemas.openxmlformats.org/officeDocument/2006/relationships" name="Project_Category" sheetId="5" state="visible" r:id="rId5"/>
    <sheet xmlns:r="http://schemas.openxmlformats.org/officeDocument/2006/relationships" name="Product_Analysis" sheetId="6" state="visible" r:id="rId6"/>
    <sheet xmlns:r="http://schemas.openxmlformats.org/officeDocument/2006/relationships" name="Product_Monthly" sheetId="7" state="visible" r:id="rId7"/>
    <sheet xmlns:r="http://schemas.openxmlformats.org/officeDocument/2006/relationships" name="Category_Analysis" sheetId="8" state="visible" r:id="rId8"/>
    <sheet xmlns:r="http://schemas.openxmlformats.org/officeDocument/2006/relationships" name="Budget_vs_Consumption" sheetId="9" state="visible" r:id="rId9"/>
    <sheet xmlns:r="http://schemas.openxmlformats.org/officeDocument/2006/relationships" name="Price_Variance" sheetId="10" state="visible" r:id="rId10"/>
    <sheet xmlns:r="http://schemas.openxmlformats.org/officeDocument/2006/relationships" name="Stock_Health" sheetId="11" state="visible" r:id="rId11"/>
    <sheet xmlns:r="http://schemas.openxmlformats.org/officeDocument/2006/relationships" name="Slow_Moving" sheetId="12" state="visible" r:id="rId12"/>
    <sheet xmlns:r="http://schemas.openxmlformats.org/officeDocument/2006/relationships" name="Supplier_Performance" sheetId="13" state="visible" r:id="rId13"/>
    <sheet xmlns:r="http://schemas.openxmlformats.org/officeDocument/2006/relationships" name="Cost_per_Beneficiary" sheetId="14" state="visible" r:id="rId14"/>
    <sheet xmlns:r="http://schemas.openxmlformats.org/officeDocument/2006/relationships" name="Excep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yyyy-mm-dd"/>
    <numFmt numFmtId="167" formatCode="dd-mmm-yyyy"/>
  </numFmts>
  <fonts count="10">
    <font>
      <name val="Calibri"/>
      <family val="2"/>
      <color theme="1"/>
      <sz val="11"/>
      <scheme val="minor"/>
    </font>
    <font>
      <name val="Calibri"/>
      <b val="1"/>
      <color rgb="001F3B57"/>
      <sz val="15"/>
    </font>
    <font>
      <name val="Calibri"/>
      <i val="1"/>
      <color rgb="00595959"/>
      <sz val="9"/>
    </font>
    <font>
      <name val="Calibri"/>
      <b val="1"/>
      <sz val="10"/>
    </font>
    <font>
      <name val="Calibri"/>
      <sz val="10"/>
    </font>
    <font>
      <name val="Calibri"/>
      <b val="1"/>
      <color rgb="00595959"/>
      <sz val="8.5"/>
    </font>
    <font>
      <name val="Calibri"/>
      <b val="1"/>
      <color rgb="001F3B57"/>
      <sz val="11"/>
    </font>
    <font>
      <name val="Calibri"/>
      <b val="1"/>
      <color rgb="00FFFFFF"/>
      <sz val="9.5"/>
    </font>
    <font>
      <name val="Calibri"/>
      <sz val="9.5"/>
    </font>
    <font>
      <name val="Calibri"/>
      <b val="1"/>
      <sz val="9.5"/>
    </font>
  </fonts>
  <fills count="4">
    <fill>
      <patternFill/>
    </fill>
    <fill>
      <patternFill patternType="gray125"/>
    </fill>
    <fill>
      <patternFill patternType="solid">
        <fgColor rgb="00EEF3F8"/>
      </patternFill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3" fontId="1" fillId="2" borderId="1" applyAlignment="1" pivotButton="0" quotePrefix="0" xfId="0">
      <alignment horizontal="center"/>
    </xf>
    <xf numFmtId="2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4" fontId="1" fillId="2" borderId="1" applyAlignment="1" pivotButton="0" quotePrefix="0" xfId="0">
      <alignment horizont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2" fontId="8" fillId="0" borderId="0" pivotButton="0" quotePrefix="0" xfId="0"/>
    <xf numFmtId="0" fontId="7" fillId="3" borderId="0" pivotButton="0" quotePrefix="0" xfId="0"/>
    <xf numFmtId="3" fontId="0" fillId="0" borderId="0" pivotButton="0" quotePrefix="0" xfId="0"/>
    <xf numFmtId="4" fontId="8" fillId="0" borderId="0" pivotButton="0" quotePrefix="0" xfId="0"/>
    <xf numFmtId="164" fontId="8" fillId="0" borderId="0" pivotButton="0" quotePrefix="0" xfId="0"/>
    <xf numFmtId="0" fontId="9" fillId="2" borderId="0" pivotButton="0" quotePrefix="0" xfId="0"/>
    <xf numFmtId="3" fontId="9" fillId="2" borderId="0" pivotButton="0" quotePrefix="0" xfId="0"/>
    <xf numFmtId="165" fontId="8" fillId="0" borderId="0" pivotButton="0" quotePrefix="0" xfId="0"/>
    <xf numFmtId="0" fontId="8" fillId="0" borderId="1" pivotButton="0" quotePrefix="0" xfId="0"/>
    <xf numFmtId="3" fontId="8" fillId="0" borderId="1" pivotButton="0" quotePrefix="0" xfId="0"/>
    <xf numFmtId="2" fontId="8" fillId="0" borderId="1" pivotButton="0" quotePrefix="0" xfId="0"/>
    <xf numFmtId="4" fontId="8" fillId="0" borderId="1" pivotButton="0" quotePrefix="0" xfId="0"/>
    <xf numFmtId="0" fontId="9" fillId="2" borderId="1" pivotButton="0" quotePrefix="0" xfId="0"/>
    <xf numFmtId="3" fontId="9" fillId="2" borderId="1" pivotButton="0" quotePrefix="0" xfId="0"/>
    <xf numFmtId="2" fontId="9" fillId="2" borderId="1" pivotButton="0" quotePrefix="0" xfId="0"/>
    <xf numFmtId="4" fontId="9" fillId="2" borderId="1" pivotButton="0" quotePrefix="0" xfId="0"/>
    <xf numFmtId="167" fontId="8" fillId="0" borderId="1" pivotButton="0" quotePrefix="0" xfId="0"/>
    <xf numFmtId="164" fontId="8" fillId="0" borderId="1" pivotButton="0" quotePrefix="0" xfId="0"/>
    <xf numFmtId="164" fontId="9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Consumption vs procurement investment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'KPI_Dashboard'!C10</f>
            </strRef>
          </tx>
          <spPr>
            <a:ln xmlns:a="http://schemas.openxmlformats.org/drawingml/2006/main" w="22000">
              <a:solidFill>
                <a:srgbClr val="1F3B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'KPI_Dashboard'!$B$11:$B$37</f>
            </numRef>
          </cat>
          <val>
            <numRef>
              <f>'KPI_Dashboard'!$C$11:$C$37</f>
            </numRef>
          </val>
        </ser>
        <ser>
          <idx val="1"/>
          <order val="1"/>
          <tx>
            <strRef>
              <f>'KPI_Dashboard'!D10</f>
            </strRef>
          </tx>
          <spPr>
            <a:ln xmlns:a="http://schemas.openxmlformats.org/drawingml/2006/main" w="22000">
              <a:solidFill>
                <a:srgbClr val="2A7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'KPI_Dashboard'!$B$11:$B$37</f>
            </numRef>
          </cat>
          <val>
            <numRef>
              <f>'KPI_Dashboard'!$D$11:$D$37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PKR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projects by consumption value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'KPI_Dashboard'!C40</f>
            </strRef>
          </tx>
          <spPr>
            <a:solidFill xmlns:a="http://schemas.openxmlformats.org/drawingml/2006/main">
              <a:srgbClr val="1F3B57"/>
            </a:solidFill>
            <a:ln xmlns:a="http://schemas.openxmlformats.org/drawingml/2006/main">
              <a:prstDash val="solid"/>
            </a:ln>
          </spPr>
          <cat>
            <numRef>
              <f>'KPI_Dashboard'!$B$41:$B$50</f>
            </numRef>
          </cat>
          <val>
            <numRef>
              <f>'KPI_Dashboard'!$C$41:$C$50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PKR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Consumption by product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'KPI_Dashboard'!C53</f>
            </strRef>
          </tx>
          <spPr>
            <a:solidFill xmlns:a="http://schemas.openxmlformats.org/drawingml/2006/main">
              <a:srgbClr val="2A7F8F"/>
            </a:solidFill>
            <a:ln xmlns:a="http://schemas.openxmlformats.org/drawingml/2006/main">
              <a:prstDash val="solid"/>
            </a:ln>
          </spPr>
          <cat>
            <numRef>
              <f>'KPI_Dashboard'!$B$54:$B$59</f>
            </numRef>
          </cat>
          <val>
            <numRef>
              <f>'KPI_Dashboard'!$C$54:$C$59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consumption value and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'Trend_Monthly'!B5</f>
            </strRef>
          </tx>
          <spPr>
            <a:solidFill xmlns:a="http://schemas.openxmlformats.org/drawingml/2006/main">
              <a:srgbClr val="1F3B57"/>
            </a:solidFill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'Trend_Monthly'!$A$6:$A$32</f>
            </numRef>
          </cat>
          <val>
            <numRef>
              <f>'Trend_Monthly'!$B$6:$B$32</f>
            </numRef>
          </val>
        </ser>
        <ser>
          <idx val="1"/>
          <order val="1"/>
          <tx>
            <strRef>
              <f>'Trend_Monthly'!G5</f>
            </strRef>
          </tx>
          <spPr>
            <a:ln xmlns:a="http://schemas.openxmlformats.org/drawingml/2006/main" w="18000">
              <a:solidFill>
                <a:srgbClr val="2A7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'Trend_Monthly'!$A$6:$A$32</f>
            </numRef>
          </cat>
          <val>
            <numRef>
              <f>'Trend_Monthly'!$G$6:$G$32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PKR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8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39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3B57"/>
    <outlinePr summaryBelow="1" summaryRight="1"/>
    <pageSetUpPr/>
  </sheetPr>
  <dimension ref="A1:F13"/>
  <sheetViews>
    <sheetView showGridLines="0" zoomScale="9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00" customWidth="1" min="3" max="3"/>
    <col width="16" customWidth="1" min="4" max="4"/>
  </cols>
  <sheetData>
    <row r="1">
      <c r="A1" s="1" t="inlineStr">
        <is>
          <t>VPT – Consumption Analysis Workbook</t>
        </is>
      </c>
    </row>
    <row r="2">
      <c r="A2" s="2" t="inlineStr">
        <is>
          <t>Analysis pack built from the sample Oracle-style dataset. All figures derive from VPT_Consumption_Dataset.xlsx.</t>
        </is>
      </c>
    </row>
    <row r="3" ht="6" customHeight="1"/>
    <row r="5" ht="30" customHeight="1">
      <c r="B5" s="3" t="inlineStr">
        <is>
          <t>Purpose</t>
        </is>
      </c>
      <c r="C5" s="4" t="inlineStr">
        <is>
          <t>Demonstrates the KPIs, views and exception logic specified in the BRD, using the sample dataset. Use it to validate definitions before the Oracle build.</t>
        </is>
      </c>
    </row>
    <row r="6" ht="15" customHeight="1">
      <c r="B6" s="3" t="inlineStr">
        <is>
          <t>Reporting period</t>
        </is>
      </c>
      <c r="C6" s="4" t="inlineStr">
        <is>
          <t>06-Jul-2024 to 30-Sep-2026 (27 months, fiscal years FY2024-25 to FY2026-27 Q1).</t>
        </is>
      </c>
    </row>
    <row r="7" ht="15" customHeight="1">
      <c r="B7" s="3" t="inlineStr">
        <is>
          <t>Data as at</t>
        </is>
      </c>
      <c r="C7" s="4" t="inlineStr">
        <is>
          <t>30-Sep-2026</t>
        </is>
      </c>
    </row>
    <row r="8" ht="30" customHeight="1">
      <c r="B8" s="3" t="inlineStr">
        <is>
          <t>Basis of measurement</t>
        </is>
      </c>
      <c r="C8" s="4" t="inlineStr">
        <is>
          <t>Consumption = inventory issue value excluding inter-store transfers (BRD TR-08). Investment = purchase order value excluding cancelled orders. Received = GRN value.</t>
        </is>
      </c>
    </row>
    <row r="9" ht="15" customHeight="1">
      <c r="B9" s="3" t="inlineStr">
        <is>
          <t>Currency</t>
        </is>
      </c>
      <c r="C9" s="4" t="inlineStr">
        <is>
          <t>PKR, excluding sales tax.</t>
        </is>
      </c>
    </row>
    <row r="10" ht="45" customHeight="1">
      <c r="B10" s="3" t="inlineStr">
        <is>
          <t>Sheets</t>
        </is>
      </c>
      <c r="C10" s="4" t="inlineStr">
        <is>
          <t>KPI_Dashboard · Trend_Monthly · Project_Analysis · Project_Category · Product_Analysis · Product_Monthly · Category_Analysis · Budget_vs_Consumption · Price_Variance · Stock_Health · Slow_Moving · Supplier_Performance · Cost_per_Beneficiary · Exceptions</t>
        </is>
      </c>
    </row>
    <row r="11" ht="30" customHeight="1">
      <c r="B11" s="3" t="inlineStr">
        <is>
          <t>How to use</t>
        </is>
      </c>
      <c r="C11" s="4" t="inlineStr">
        <is>
          <t>Start at KPI_Dashboard for the headline position, then move to Project_Analysis or Product_Analysis. Exception and stock sheets explain the gaps.</t>
        </is>
      </c>
    </row>
    <row r="12" ht="30" customHeight="1">
      <c r="B12" s="3" t="inlineStr">
        <is>
          <t>Headline result</t>
        </is>
      </c>
      <c r="C12" s="4" t="inlineStr">
        <is>
          <t>Consumption PKR 261.6m against investment PKR 300.8m — ratio 0.87. Unattributed consumption 2.6% of value.</t>
        </is>
      </c>
    </row>
    <row r="13" ht="30" customHeight="1">
      <c r="B13" s="3" t="inlineStr">
        <is>
          <t>Caveat</t>
        </is>
      </c>
      <c r="C13" s="4" t="inlineStr">
        <is>
          <t>Synthetic data. Organisation and supplier names are used for realism only. Replace with Oracle extracts when the extract is available.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7F8F"/>
    <outlinePr summaryBelow="1" summaryRight="1"/>
    <pageSetUpPr/>
  </sheetPr>
  <dimension ref="A1:I71"/>
  <sheetViews>
    <sheetView showGridLines="0" zoomScale="9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Consumption Analysis – Executive Dashboard</t>
        </is>
      </c>
    </row>
    <row r="2">
      <c r="A2" s="2" t="inlineStr">
        <is>
          <t>Reporting period Jul-2024 to Sep-2026  |  Data as at 30-Sep-2026  |  PKR millions where shown</t>
        </is>
      </c>
    </row>
    <row r="3" ht="6" customHeight="1"/>
    <row r="5" ht="30" customHeight="1">
      <c r="B5" s="5" t="inlineStr">
        <is>
          <t>Consumption value
(PKR)</t>
        </is>
      </c>
      <c r="C5" s="5" t="inlineStr">
        <is>
          <t>Procurement investment
(PKR)</t>
        </is>
      </c>
      <c r="D5" s="5" t="inlineStr">
        <is>
          <t>Consumption-to-
investment ratio</t>
        </is>
      </c>
      <c r="E5" s="5" t="inlineStr">
        <is>
          <t>Received value
(PKR)</t>
        </is>
      </c>
      <c r="F5" s="5" t="inlineStr">
        <is>
          <t>Product budget
(PKR)</t>
        </is>
      </c>
      <c r="G5" s="5" t="inlineStr">
        <is>
          <t>Budget utilisation</t>
        </is>
      </c>
      <c r="H5" s="5" t="inlineStr">
        <is>
          <t>Unattributed
consumption</t>
        </is>
      </c>
      <c r="I5" s="5" t="inlineStr">
        <is>
          <t>Cost per beneficiary
(PKR)</t>
        </is>
      </c>
    </row>
    <row r="6" ht="24" customHeight="1">
      <c r="B6" s="6" t="n">
        <v>261575946.1</v>
      </c>
      <c r="C6" s="6" t="n">
        <v>300845059.6</v>
      </c>
      <c r="D6" s="7" t="n">
        <v>0.8694706386330167</v>
      </c>
      <c r="E6" s="6" t="n">
        <v>297640831.41</v>
      </c>
      <c r="F6" s="6" t="n">
        <v>342237000</v>
      </c>
      <c r="G6" s="8" t="n">
        <v>0.7643122926509991</v>
      </c>
      <c r="H6" s="8" t="n">
        <v>0.02573228876873401</v>
      </c>
      <c r="I6" s="9" t="n">
        <v>384.8114178574212</v>
      </c>
    </row>
    <row r="9">
      <c r="B9" s="10" t="inlineStr">
        <is>
          <t>Monthly trend – consumption, investment and received value (PKR)</t>
        </is>
      </c>
      <c r="I9" s="2" t="inlineStr"/>
    </row>
    <row r="10" ht="30" customHeight="1">
      <c r="A10" s="11" t="inlineStr">
        <is>
          <t>Month</t>
        </is>
      </c>
      <c r="B10" s="11" t="inlineStr">
        <is>
          <t>Consumption</t>
        </is>
      </c>
      <c r="C10" s="11" t="inlineStr">
        <is>
          <t>Investment</t>
        </is>
      </c>
      <c r="D10" s="11" t="inlineStr">
        <is>
          <t>Received</t>
        </is>
      </c>
      <c r="E10" s="11" t="inlineStr">
        <is>
          <t>3-mo avg consumption</t>
        </is>
      </c>
      <c r="F10" s="11" t="inlineStr">
        <is>
          <t>Consumption / investment</t>
        </is>
      </c>
    </row>
    <row r="11">
      <c r="B11" s="12" t="inlineStr">
        <is>
          <t>Jul-2024</t>
        </is>
      </c>
      <c r="C11" s="13" t="n">
        <v>6861937.91</v>
      </c>
      <c r="D11" s="13" t="n">
        <v>9974140.73</v>
      </c>
      <c r="E11" s="13" t="n">
        <v>8593193.24</v>
      </c>
      <c r="F11" s="12" t="n"/>
      <c r="G11" s="14" t="n">
        <v>0.6899999999999999</v>
      </c>
    </row>
    <row r="12">
      <c r="B12" s="12" t="inlineStr">
        <is>
          <t>Aug-2024</t>
        </is>
      </c>
      <c r="C12" s="13" t="n">
        <v>7953711.66</v>
      </c>
      <c r="D12" s="13" t="n">
        <v>8184737.62</v>
      </c>
      <c r="E12" s="13" t="n">
        <v>9585258.560000001</v>
      </c>
      <c r="F12" s="12" t="n"/>
      <c r="G12" s="14" t="n">
        <v>0.97</v>
      </c>
    </row>
    <row r="13">
      <c r="B13" s="12" t="inlineStr">
        <is>
          <t>Sep-2024</t>
        </is>
      </c>
      <c r="C13" s="13" t="n">
        <v>8006117.98</v>
      </c>
      <c r="D13" s="13" t="n">
        <v>9697790.880000001</v>
      </c>
      <c r="E13" s="13" t="n">
        <v>9175192.59</v>
      </c>
      <c r="F13" s="13" t="n">
        <v>7607255.85</v>
      </c>
      <c r="G13" s="14" t="n">
        <v>0.83</v>
      </c>
    </row>
    <row r="14">
      <c r="B14" s="12" t="inlineStr">
        <is>
          <t>Oct-2024</t>
        </is>
      </c>
      <c r="C14" s="13" t="n">
        <v>8323666.09</v>
      </c>
      <c r="D14" s="13" t="n">
        <v>8326190.48</v>
      </c>
      <c r="E14" s="13" t="n">
        <v>8597718.109999999</v>
      </c>
      <c r="F14" s="13" t="n">
        <v>8094498.58</v>
      </c>
      <c r="G14" s="14" t="n">
        <v>1</v>
      </c>
    </row>
    <row r="15">
      <c r="B15" s="12" t="inlineStr">
        <is>
          <t>Nov-2024</t>
        </is>
      </c>
      <c r="C15" s="13" t="n">
        <v>7224420</v>
      </c>
      <c r="D15" s="13" t="n">
        <v>13244716.29</v>
      </c>
      <c r="E15" s="13" t="n">
        <v>8158610.21</v>
      </c>
      <c r="F15" s="13" t="n">
        <v>7851401.36</v>
      </c>
      <c r="G15" s="14" t="n">
        <v>0.55</v>
      </c>
    </row>
    <row r="16">
      <c r="B16" s="12" t="inlineStr">
        <is>
          <t>Dec-2024</t>
        </is>
      </c>
      <c r="C16" s="13" t="n">
        <v>7407856.51</v>
      </c>
      <c r="D16" s="13" t="n">
        <v>11337828.14</v>
      </c>
      <c r="E16" s="13" t="n">
        <v>13226951.26</v>
      </c>
      <c r="F16" s="13" t="n">
        <v>7651980.87</v>
      </c>
      <c r="G16" s="14" t="n">
        <v>0.65</v>
      </c>
    </row>
    <row r="17">
      <c r="B17" s="12" t="inlineStr">
        <is>
          <t>Jan-2025</t>
        </is>
      </c>
      <c r="C17" s="13" t="n">
        <v>12227724.09</v>
      </c>
      <c r="D17" s="13" t="n">
        <v>12256557.48</v>
      </c>
      <c r="E17" s="13" t="n">
        <v>12506539.38</v>
      </c>
      <c r="F17" s="13" t="n">
        <v>8953333.529999999</v>
      </c>
      <c r="G17" s="14" t="n">
        <v>1</v>
      </c>
    </row>
    <row r="18">
      <c r="B18" s="12" t="inlineStr">
        <is>
          <t>Feb-2025</t>
        </is>
      </c>
      <c r="C18" s="13" t="n">
        <v>10499656.63</v>
      </c>
      <c r="D18" s="13" t="n">
        <v>7935909.09</v>
      </c>
      <c r="E18" s="13" t="n">
        <v>10158694.67</v>
      </c>
      <c r="F18" s="13" t="n">
        <v>10045079.08</v>
      </c>
      <c r="G18" s="14" t="n">
        <v>1.32</v>
      </c>
    </row>
    <row r="19">
      <c r="B19" s="12" t="inlineStr">
        <is>
          <t>Mar-2025</t>
        </is>
      </c>
      <c r="C19" s="13" t="n">
        <v>8664321.380000001</v>
      </c>
      <c r="D19" s="13" t="n">
        <v>10062863.65</v>
      </c>
      <c r="E19" s="13" t="n">
        <v>10040039.63</v>
      </c>
      <c r="F19" s="13" t="n">
        <v>10463900.7</v>
      </c>
      <c r="G19" s="14" t="n">
        <v>0.86</v>
      </c>
    </row>
    <row r="20">
      <c r="B20" s="12" t="inlineStr">
        <is>
          <t>Apr-2025</t>
        </is>
      </c>
      <c r="C20" s="13" t="n">
        <v>8632217.210000001</v>
      </c>
      <c r="D20" s="13" t="n">
        <v>9809625.58</v>
      </c>
      <c r="E20" s="13" t="n">
        <v>9535283.42</v>
      </c>
      <c r="F20" s="13" t="n">
        <v>9265398.41</v>
      </c>
      <c r="G20" s="14" t="n">
        <v>0.88</v>
      </c>
    </row>
    <row r="21">
      <c r="B21" s="12" t="inlineStr">
        <is>
          <t>May-2025</t>
        </is>
      </c>
      <c r="C21" s="13" t="n">
        <v>8222581.06</v>
      </c>
      <c r="D21" s="13" t="n">
        <v>11703952.04</v>
      </c>
      <c r="E21" s="13" t="n">
        <v>10009925.5</v>
      </c>
      <c r="F21" s="13" t="n">
        <v>8506373.220000001</v>
      </c>
      <c r="G21" s="14" t="n">
        <v>0.7</v>
      </c>
    </row>
    <row r="22">
      <c r="B22" s="12" t="inlineStr">
        <is>
          <t>Jun-2025</t>
        </is>
      </c>
      <c r="C22" s="13" t="n">
        <v>8845297.970000001</v>
      </c>
      <c r="D22" s="13" t="n">
        <v>15752072.37</v>
      </c>
      <c r="E22" s="13" t="n">
        <v>11433668.27</v>
      </c>
      <c r="F22" s="13" t="n">
        <v>8566698.75</v>
      </c>
      <c r="G22" s="14" t="n">
        <v>0.5600000000000001</v>
      </c>
    </row>
    <row r="23">
      <c r="B23" s="12" t="inlineStr">
        <is>
          <t>Jul-2025</t>
        </is>
      </c>
      <c r="C23" s="13" t="n">
        <v>10486353.14</v>
      </c>
      <c r="D23" s="13" t="n">
        <v>16441659.72</v>
      </c>
      <c r="E23" s="13" t="n">
        <v>14216389.83</v>
      </c>
      <c r="F23" s="13" t="n">
        <v>9184744.060000001</v>
      </c>
      <c r="G23" s="14" t="n">
        <v>0.64</v>
      </c>
    </row>
    <row r="24">
      <c r="B24" s="12" t="inlineStr">
        <is>
          <t>Aug-2025</t>
        </is>
      </c>
      <c r="C24" s="13" t="n">
        <v>14731533.2</v>
      </c>
      <c r="D24" s="13" t="n">
        <v>13090063.81</v>
      </c>
      <c r="E24" s="13" t="n">
        <v>16366021.34</v>
      </c>
      <c r="F24" s="13" t="n">
        <v>11354394.77</v>
      </c>
      <c r="G24" s="14" t="n">
        <v>1.13</v>
      </c>
    </row>
    <row r="25">
      <c r="B25" s="12" t="inlineStr">
        <is>
          <t>Sep-2025</t>
        </is>
      </c>
      <c r="C25" s="13" t="n">
        <v>14013474.94</v>
      </c>
      <c r="D25" s="13" t="n">
        <v>9106292.43</v>
      </c>
      <c r="E25" s="13" t="n">
        <v>13827082.17</v>
      </c>
      <c r="F25" s="13" t="n">
        <v>13077120.43</v>
      </c>
      <c r="G25" s="14" t="n">
        <v>1.54</v>
      </c>
    </row>
    <row r="26">
      <c r="B26" s="12" t="inlineStr">
        <is>
          <t>Oct-2025</t>
        </is>
      </c>
      <c r="C26" s="13" t="n">
        <v>10234480.36</v>
      </c>
      <c r="D26" s="13" t="n">
        <v>12254573.44</v>
      </c>
      <c r="E26" s="13" t="n">
        <v>10420047.94</v>
      </c>
      <c r="F26" s="13" t="n">
        <v>12993162.83</v>
      </c>
      <c r="G26" s="14" t="n">
        <v>0.84</v>
      </c>
    </row>
    <row r="27">
      <c r="B27" s="12" t="inlineStr">
        <is>
          <t>Nov-2025</t>
        </is>
      </c>
      <c r="C27" s="13" t="n">
        <v>9131693.51</v>
      </c>
      <c r="D27" s="13" t="n">
        <v>12895824.95</v>
      </c>
      <c r="E27" s="13" t="n">
        <v>10798432.1</v>
      </c>
      <c r="F27" s="13" t="n">
        <v>11126549.6</v>
      </c>
      <c r="G27" s="14" t="n">
        <v>0.71</v>
      </c>
    </row>
    <row r="28">
      <c r="B28" s="12" t="inlineStr">
        <is>
          <t>Dec-2025</t>
        </is>
      </c>
      <c r="C28" s="13" t="n">
        <v>10804162</v>
      </c>
      <c r="D28" s="13" t="n">
        <v>13150862.75</v>
      </c>
      <c r="E28" s="13" t="n">
        <v>13337268.36</v>
      </c>
      <c r="F28" s="13" t="n">
        <v>10056778.62</v>
      </c>
      <c r="G28" s="14" t="n">
        <v>0.82</v>
      </c>
    </row>
    <row r="29">
      <c r="B29" s="12" t="inlineStr">
        <is>
          <t>Jan-2026</t>
        </is>
      </c>
      <c r="C29" s="13" t="n">
        <v>11504510.02</v>
      </c>
      <c r="D29" s="13" t="n">
        <v>10328265.86</v>
      </c>
      <c r="E29" s="13" t="n">
        <v>13501609.93</v>
      </c>
      <c r="F29" s="13" t="n">
        <v>10480121.84</v>
      </c>
      <c r="G29" s="14" t="n">
        <v>1.11</v>
      </c>
    </row>
    <row r="30">
      <c r="B30" s="12" t="inlineStr">
        <is>
          <t>Feb-2026</t>
        </is>
      </c>
      <c r="C30" s="13" t="n">
        <v>11137924.02</v>
      </c>
      <c r="D30" s="13" t="n">
        <v>7866085.44</v>
      </c>
      <c r="E30" s="13" t="n">
        <v>9017680.960000001</v>
      </c>
      <c r="F30" s="13" t="n">
        <v>11148865.35</v>
      </c>
      <c r="G30" s="14" t="n">
        <v>1.42</v>
      </c>
    </row>
    <row r="31">
      <c r="B31" s="12" t="inlineStr">
        <is>
          <t>Mar-2026</t>
        </is>
      </c>
      <c r="C31" s="13" t="n">
        <v>7331727.55</v>
      </c>
      <c r="D31" s="13" t="n">
        <v>10454875.64</v>
      </c>
      <c r="E31" s="13" t="n">
        <v>10086112.73</v>
      </c>
      <c r="F31" s="13" t="n">
        <v>9991387.199999999</v>
      </c>
      <c r="G31" s="14" t="n">
        <v>0.7</v>
      </c>
    </row>
    <row r="32">
      <c r="B32" s="12" t="inlineStr">
        <is>
          <t>Apr-2026</t>
        </is>
      </c>
      <c r="C32" s="13" t="n">
        <v>8732262.289999999</v>
      </c>
      <c r="D32" s="13" t="n">
        <v>9388811.560000001</v>
      </c>
      <c r="E32" s="13" t="n">
        <v>9043771.470000001</v>
      </c>
      <c r="F32" s="13" t="n">
        <v>9067304.619999999</v>
      </c>
      <c r="G32" s="14" t="n">
        <v>0.93</v>
      </c>
    </row>
    <row r="33">
      <c r="B33" s="12" t="inlineStr">
        <is>
          <t>May-2026</t>
        </is>
      </c>
      <c r="C33" s="13" t="n">
        <v>8020497.75</v>
      </c>
      <c r="D33" s="13" t="n">
        <v>14017413.22</v>
      </c>
      <c r="E33" s="13" t="n">
        <v>10791372.46</v>
      </c>
      <c r="F33" s="13" t="n">
        <v>8028162.53</v>
      </c>
      <c r="G33" s="14" t="n">
        <v>0.57</v>
      </c>
    </row>
    <row r="34">
      <c r="B34" s="12" t="inlineStr">
        <is>
          <t>Jun-2026</t>
        </is>
      </c>
      <c r="C34" s="13" t="n">
        <v>8809441.949999999</v>
      </c>
      <c r="D34" s="13" t="n">
        <v>11452848.52</v>
      </c>
      <c r="E34" s="13" t="n">
        <v>12803126.9</v>
      </c>
      <c r="F34" s="13" t="n">
        <v>8520734</v>
      </c>
      <c r="G34" s="14" t="n">
        <v>0.77</v>
      </c>
    </row>
    <row r="35">
      <c r="B35" s="12" t="inlineStr">
        <is>
          <t>Jul-2026</t>
        </is>
      </c>
      <c r="C35" s="13" t="n">
        <v>11480271.5</v>
      </c>
      <c r="D35" s="13" t="n">
        <v>15822840.64</v>
      </c>
      <c r="E35" s="13" t="n">
        <v>11155401.88</v>
      </c>
      <c r="F35" s="13" t="n">
        <v>9436737.07</v>
      </c>
      <c r="G35" s="14" t="n">
        <v>0.73</v>
      </c>
    </row>
    <row r="36">
      <c r="B36" s="12" t="inlineStr">
        <is>
          <t>Aug-2026</t>
        </is>
      </c>
      <c r="C36" s="13" t="n">
        <v>11285273.67</v>
      </c>
      <c r="D36" s="13" t="n">
        <v>2936502.16</v>
      </c>
      <c r="E36" s="13" t="n">
        <v>12583307.99</v>
      </c>
      <c r="F36" s="13" t="n">
        <v>10524995.71</v>
      </c>
      <c r="G36" s="14" t="n">
        <v>3.84</v>
      </c>
    </row>
    <row r="37">
      <c r="B37" s="12" t="inlineStr">
        <is>
          <t>Sep-2026</t>
        </is>
      </c>
      <c r="C37" s="13" t="n">
        <v>11002831.71</v>
      </c>
      <c r="D37" s="13" t="n">
        <v>0</v>
      </c>
      <c r="E37" s="13" t="n">
        <v>4632081.39</v>
      </c>
      <c r="F37" s="13" t="n">
        <v>11256125.63</v>
      </c>
      <c r="G37" s="14" t="n"/>
    </row>
    <row r="40">
      <c r="B40" s="15" t="inlineStr">
        <is>
          <t>Project</t>
        </is>
      </c>
      <c r="C40" s="15" t="inlineStr">
        <is>
          <t>Consumption value</t>
        </is>
      </c>
    </row>
    <row r="41">
      <c r="B41" t="inlineStr">
        <is>
          <t>Maternal &amp; Child Health Programme - Korangi</t>
        </is>
      </c>
      <c r="C41" s="16" t="n">
        <v>60615277.21</v>
      </c>
    </row>
    <row r="42">
      <c r="B42" t="inlineStr">
        <is>
          <t>Nutrition Stabilisation Centre - Malir</t>
        </is>
      </c>
      <c r="C42" s="16" t="n">
        <v>45507230.07</v>
      </c>
    </row>
    <row r="43">
      <c r="B43" t="inlineStr">
        <is>
          <t>TB DOTS Expansion - Karachi South</t>
        </is>
      </c>
      <c r="C43" s="16" t="n">
        <v>33066016.11</v>
      </c>
    </row>
    <row r="44">
      <c r="B44" t="inlineStr">
        <is>
          <t>Primary Healthcare Support - Tharparkar</t>
        </is>
      </c>
      <c r="C44" s="16" t="n">
        <v>30079464.34</v>
      </c>
    </row>
    <row r="45">
      <c r="B45" t="inlineStr">
        <is>
          <t>Thalassaemia Support Programme - Gadap</t>
        </is>
      </c>
      <c r="C45" s="16" t="n">
        <v>24076941.05</v>
      </c>
    </row>
    <row r="46">
      <c r="B46" t="inlineStr">
        <is>
          <t>Emergency Obstetric Care - Lyari</t>
        </is>
      </c>
      <c r="C46" s="16" t="n">
        <v>16788576.77</v>
      </c>
    </row>
    <row r="47">
      <c r="B47" t="inlineStr">
        <is>
          <t>Rural Health Centre Strengthening - Jamshoro</t>
        </is>
      </c>
      <c r="C47" s="16" t="n">
        <v>14971323.73</v>
      </c>
    </row>
    <row r="48">
      <c r="B48" t="inlineStr">
        <is>
          <t>Community Health Worker Programme - Bin Qasim</t>
        </is>
      </c>
      <c r="C48" s="16" t="n">
        <v>13107603.79</v>
      </c>
    </row>
    <row r="49">
      <c r="B49" t="inlineStr">
        <is>
          <t>Flood Response &amp; Health Recovery - Dadu</t>
        </is>
      </c>
      <c r="C49" s="16" t="n">
        <v>12627735.23</v>
      </c>
    </row>
    <row r="50">
      <c r="B50" t="inlineStr">
        <is>
          <t>Unattributed</t>
        </is>
      </c>
      <c r="C50" s="16" t="n">
        <v>6271240.95</v>
      </c>
    </row>
    <row r="53">
      <c r="B53" s="15" t="inlineStr">
        <is>
          <t>Category</t>
        </is>
      </c>
      <c r="C53" s="15" t="inlineStr">
        <is>
          <t>Consumption value</t>
        </is>
      </c>
    </row>
    <row r="54">
      <c r="B54" t="inlineStr">
        <is>
          <t>Medicines</t>
        </is>
      </c>
      <c r="C54" s="16" t="n">
        <v>88929770.93000001</v>
      </c>
    </row>
    <row r="55">
      <c r="B55" t="inlineStr">
        <is>
          <t>Medical Consumables</t>
        </is>
      </c>
      <c r="C55" s="16" t="n">
        <v>70678971.23</v>
      </c>
    </row>
    <row r="56">
      <c r="B56" t="inlineStr">
        <is>
          <t>Nutrition</t>
        </is>
      </c>
      <c r="C56" s="16" t="n">
        <v>69369900.38</v>
      </c>
    </row>
    <row r="57">
      <c r="B57" t="inlineStr">
        <is>
          <t>Laboratory</t>
        </is>
      </c>
      <c r="C57" s="16" t="n">
        <v>21427187.14</v>
      </c>
    </row>
    <row r="58">
      <c r="B58" t="inlineStr">
        <is>
          <t>General Items</t>
        </is>
      </c>
      <c r="C58" s="16" t="n">
        <v>11077955.93</v>
      </c>
    </row>
    <row r="59">
      <c r="B59" t="inlineStr">
        <is>
          <t>Equipment</t>
        </is>
      </c>
      <c r="C59" s="16" t="n">
        <v>92160.49000000001</v>
      </c>
    </row>
    <row r="62">
      <c r="B62" s="10" t="inlineStr">
        <is>
          <t>Attention list (threshold breaches)</t>
        </is>
      </c>
    </row>
    <row r="63" ht="30" customHeight="1">
      <c r="A63" s="11" t="inlineStr">
        <is>
          <t>Exception</t>
        </is>
      </c>
      <c r="B63" s="11" t="inlineStr">
        <is>
          <t>Count / value</t>
        </is>
      </c>
      <c r="C63" s="11" t="inlineStr">
        <is>
          <t>Note</t>
        </is>
      </c>
    </row>
    <row r="64">
      <c r="B64" s="12" t="inlineStr">
        <is>
          <t>Items below 30 days of cover</t>
        </is>
      </c>
      <c r="C64" s="13" t="n">
        <v>1</v>
      </c>
      <c r="D64" s="12" t="inlineStr">
        <is>
          <t>Check reorder and open commitments</t>
        </is>
      </c>
    </row>
    <row r="65">
      <c r="B65" s="12" t="inlineStr">
        <is>
          <t>Batches expiring within 60 days (value, PKR)</t>
        </is>
      </c>
      <c r="C65" s="13" t="n">
        <v>950939.91</v>
      </c>
      <c r="D65" s="12" t="inlineStr">
        <is>
          <t>Redistribute or write off</t>
        </is>
      </c>
    </row>
    <row r="66">
      <c r="B66" s="12" t="inlineStr">
        <is>
          <t>Expired stock not written off (value, PKR)</t>
        </is>
      </c>
      <c r="C66" s="13" t="n">
        <v>783764.1800000001</v>
      </c>
      <c r="D66" s="12" t="inlineStr">
        <is>
          <t>Approve write-off</t>
        </is>
      </c>
    </row>
    <row r="67">
      <c r="B67" s="12" t="inlineStr">
        <is>
          <t>Unattributed consumption (value, PKR)</t>
        </is>
      </c>
      <c r="C67" s="13" t="n">
        <v>6730947.78</v>
      </c>
      <c r="D67" s="12" t="inlineStr">
        <is>
          <t>Correct project coding at issue</t>
        </is>
      </c>
    </row>
    <row r="68">
      <c r="B68" s="12" t="inlineStr">
        <is>
          <t>Zero-value purchase lines</t>
        </is>
      </c>
      <c r="C68" s="13" t="n">
        <v>59</v>
      </c>
      <c r="D68" s="12" t="inlineStr">
        <is>
          <t>Confirm in-kind / donated stock</t>
        </is>
      </c>
    </row>
    <row r="69">
      <c r="B69" s="12" t="inlineStr">
        <is>
          <t>Cancelled purchase orders</t>
        </is>
      </c>
      <c r="C69" s="13" t="n">
        <v>847</v>
      </c>
      <c r="D69" s="12" t="inlineStr">
        <is>
          <t>Remove from commitment reporting</t>
        </is>
      </c>
    </row>
    <row r="70">
      <c r="B70" s="12" t="inlineStr">
        <is>
          <t>Duplicate receipt candidates</t>
        </is>
      </c>
      <c r="C70" s="13" t="n">
        <v>8</v>
      </c>
      <c r="D70" s="12" t="inlineStr">
        <is>
          <t>Deduplicate before loading</t>
        </is>
      </c>
    </row>
    <row r="71">
      <c r="B71" s="12" t="inlineStr">
        <is>
          <t>Item-project-months with unmet demand</t>
        </is>
      </c>
      <c r="C71" s="13" t="n">
        <v>70</v>
      </c>
      <c r="D71" s="12" t="inlineStr">
        <is>
          <t>Review supply and lead time</t>
        </is>
      </c>
    </row>
  </sheetData>
  <mergeCells count="1"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A7F8F"/>
    <outlinePr summaryBelow="1" summaryRight="1"/>
    <pageSetUpPr/>
  </sheetPr>
  <dimension ref="A1:I71"/>
  <sheetViews>
    <sheetView showGridLines="0" zoomScale="90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Monthly Trend Analysis</t>
        </is>
      </c>
    </row>
    <row r="2">
      <c r="A2" s="2" t="inlineStr">
        <is>
          <t>Consumption excludes inter-store transfers. Growth is month-on-month; moving averages use prior months only.</t>
        </is>
      </c>
    </row>
    <row r="3" ht="6" customHeight="1"/>
    <row r="5" ht="30" customHeight="1">
      <c r="A5" s="11" t="inlineStr">
        <is>
          <t>Month</t>
        </is>
      </c>
      <c r="B5" s="11" t="inlineStr">
        <is>
          <t>Consumption value</t>
        </is>
      </c>
      <c r="C5" s="11" t="inlineStr">
        <is>
          <t>Quantity issued</t>
        </is>
      </c>
      <c r="D5" s="11" t="inlineStr">
        <is>
          <t>Investment (PO)</t>
        </is>
      </c>
      <c r="E5" s="11" t="inlineStr">
        <is>
          <t>Received value</t>
        </is>
      </c>
      <c r="F5" s="11" t="inlineStr">
        <is>
          <t>MoM growth</t>
        </is>
      </c>
      <c r="G5" s="11" t="inlineStr">
        <is>
          <t>3-mo moving avg</t>
        </is>
      </c>
      <c r="H5" s="11" t="inlineStr">
        <is>
          <t>12-mo moving avg</t>
        </is>
      </c>
      <c r="I5" s="11" t="inlineStr">
        <is>
          <t>Cost per beneficiary</t>
        </is>
      </c>
    </row>
    <row r="6">
      <c r="A6" s="12" t="inlineStr">
        <is>
          <t>Jul-2024</t>
        </is>
      </c>
      <c r="B6" s="13" t="n">
        <v>6861937.91</v>
      </c>
      <c r="C6" s="13" t="n">
        <v>254900</v>
      </c>
      <c r="D6" s="13" t="n">
        <v>9974140.73</v>
      </c>
      <c r="E6" s="13" t="n">
        <v>8593193.24</v>
      </c>
      <c r="F6" s="12" t="n"/>
      <c r="G6" s="12" t="n"/>
      <c r="H6" s="12" t="n"/>
      <c r="I6" s="17" t="n">
        <v>359.21</v>
      </c>
    </row>
    <row r="7">
      <c r="A7" s="12" t="inlineStr">
        <is>
          <t>Aug-2024</t>
        </is>
      </c>
      <c r="B7" s="13" t="n">
        <v>7953711.66</v>
      </c>
      <c r="C7" s="13" t="n">
        <v>270840</v>
      </c>
      <c r="D7" s="13" t="n">
        <v>8184737.62</v>
      </c>
      <c r="E7" s="13" t="n">
        <v>9585258.560000001</v>
      </c>
      <c r="F7" s="18" t="n">
        <v>0.1591</v>
      </c>
      <c r="G7" s="12" t="n"/>
      <c r="H7" s="12" t="n"/>
      <c r="I7" s="17" t="n">
        <v>396.38</v>
      </c>
    </row>
    <row r="8">
      <c r="A8" s="12" t="inlineStr">
        <is>
          <t>Sep-2024</t>
        </is>
      </c>
      <c r="B8" s="13" t="n">
        <v>8006117.98</v>
      </c>
      <c r="C8" s="13" t="n">
        <v>286135</v>
      </c>
      <c r="D8" s="13" t="n">
        <v>9697790.880000001</v>
      </c>
      <c r="E8" s="13" t="n">
        <v>9175192.59</v>
      </c>
      <c r="F8" s="18" t="n">
        <v>0.0066</v>
      </c>
      <c r="G8" s="13" t="n">
        <v>7607255.85</v>
      </c>
      <c r="H8" s="12" t="n"/>
      <c r="I8" s="17" t="n">
        <v>380.54</v>
      </c>
    </row>
    <row r="9">
      <c r="A9" s="12" t="inlineStr">
        <is>
          <t>Oct-2024</t>
        </is>
      </c>
      <c r="B9" s="13" t="n">
        <v>8323666.09</v>
      </c>
      <c r="C9" s="13" t="n">
        <v>292755</v>
      </c>
      <c r="D9" s="13" t="n">
        <v>8326190.48</v>
      </c>
      <c r="E9" s="13" t="n">
        <v>8597718.109999999</v>
      </c>
      <c r="F9" s="18" t="n">
        <v>0.0397</v>
      </c>
      <c r="G9" s="13" t="n">
        <v>8094498.58</v>
      </c>
      <c r="H9" s="12" t="n"/>
      <c r="I9" s="17" t="n">
        <v>357.68</v>
      </c>
    </row>
    <row r="10">
      <c r="A10" s="12" t="inlineStr">
        <is>
          <t>Nov-2024</t>
        </is>
      </c>
      <c r="B10" s="13" t="n">
        <v>7224420</v>
      </c>
      <c r="C10" s="13" t="n">
        <v>255462</v>
      </c>
      <c r="D10" s="13" t="n">
        <v>13244716.29</v>
      </c>
      <c r="E10" s="13" t="n">
        <v>8158610.21</v>
      </c>
      <c r="F10" s="18" t="n">
        <v>-0.1321</v>
      </c>
      <c r="G10" s="13" t="n">
        <v>7851401.36</v>
      </c>
      <c r="H10" s="12" t="n"/>
      <c r="I10" s="17" t="n">
        <v>312.7</v>
      </c>
    </row>
    <row r="11">
      <c r="A11" s="12" t="inlineStr">
        <is>
          <t>Dec-2024</t>
        </is>
      </c>
      <c r="B11" s="13" t="n">
        <v>7407856.51</v>
      </c>
      <c r="C11" s="13" t="n">
        <v>297383</v>
      </c>
      <c r="D11" s="13" t="n">
        <v>11337828.14</v>
      </c>
      <c r="E11" s="13" t="n">
        <v>13226951.26</v>
      </c>
      <c r="F11" s="18" t="n">
        <v>0.0254</v>
      </c>
      <c r="G11" s="13" t="n">
        <v>7651980.87</v>
      </c>
      <c r="H11" s="12" t="n"/>
      <c r="I11" s="17" t="n">
        <v>340.2</v>
      </c>
    </row>
    <row r="12">
      <c r="A12" s="12" t="inlineStr">
        <is>
          <t>Jan-2025</t>
        </is>
      </c>
      <c r="B12" s="13" t="n">
        <v>12227724.09</v>
      </c>
      <c r="C12" s="13" t="n">
        <v>416689</v>
      </c>
      <c r="D12" s="13" t="n">
        <v>12256557.48</v>
      </c>
      <c r="E12" s="13" t="n">
        <v>12506539.38</v>
      </c>
      <c r="F12" s="18" t="n">
        <v>0.6506</v>
      </c>
      <c r="G12" s="13" t="n">
        <v>8953333.529999999</v>
      </c>
      <c r="H12" s="12" t="n"/>
      <c r="I12" s="17" t="n">
        <v>476.23</v>
      </c>
    </row>
    <row r="13">
      <c r="A13" s="12" t="inlineStr">
        <is>
          <t>Feb-2025</t>
        </is>
      </c>
      <c r="B13" s="13" t="n">
        <v>10499656.63</v>
      </c>
      <c r="C13" s="13" t="n">
        <v>376324</v>
      </c>
      <c r="D13" s="13" t="n">
        <v>7935909.09</v>
      </c>
      <c r="E13" s="13" t="n">
        <v>10158694.67</v>
      </c>
      <c r="F13" s="18" t="n">
        <v>-0.1413</v>
      </c>
      <c r="G13" s="13" t="n">
        <v>10045079.08</v>
      </c>
      <c r="H13" s="12" t="n"/>
      <c r="I13" s="17" t="n">
        <v>390.44</v>
      </c>
    </row>
    <row r="14">
      <c r="A14" s="12" t="inlineStr">
        <is>
          <t>Mar-2025</t>
        </is>
      </c>
      <c r="B14" s="13" t="n">
        <v>8664321.380000001</v>
      </c>
      <c r="C14" s="13" t="n">
        <v>321416</v>
      </c>
      <c r="D14" s="13" t="n">
        <v>10062863.65</v>
      </c>
      <c r="E14" s="13" t="n">
        <v>10040039.63</v>
      </c>
      <c r="F14" s="18" t="n">
        <v>-0.1748</v>
      </c>
      <c r="G14" s="13" t="n">
        <v>10463900.7</v>
      </c>
      <c r="H14" s="12" t="n"/>
      <c r="I14" s="17" t="n">
        <v>322.53</v>
      </c>
    </row>
    <row r="15">
      <c r="A15" s="12" t="inlineStr">
        <is>
          <t>Apr-2025</t>
        </is>
      </c>
      <c r="B15" s="13" t="n">
        <v>8632217.210000001</v>
      </c>
      <c r="C15" s="13" t="n">
        <v>296556</v>
      </c>
      <c r="D15" s="13" t="n">
        <v>9809625.58</v>
      </c>
      <c r="E15" s="13" t="n">
        <v>9535283.42</v>
      </c>
      <c r="F15" s="18" t="n">
        <v>-0.0037</v>
      </c>
      <c r="G15" s="13" t="n">
        <v>9265398.41</v>
      </c>
      <c r="H15" s="12" t="n"/>
      <c r="I15" s="17" t="n">
        <v>294.59</v>
      </c>
    </row>
    <row r="16">
      <c r="A16" s="12" t="inlineStr">
        <is>
          <t>May-2025</t>
        </is>
      </c>
      <c r="B16" s="13" t="n">
        <v>8222581.06</v>
      </c>
      <c r="C16" s="13" t="n">
        <v>280536</v>
      </c>
      <c r="D16" s="13" t="n">
        <v>11703952.04</v>
      </c>
      <c r="E16" s="13" t="n">
        <v>10009925.5</v>
      </c>
      <c r="F16" s="18" t="n">
        <v>-0.0475</v>
      </c>
      <c r="G16" s="13" t="n">
        <v>8506373.220000001</v>
      </c>
      <c r="H16" s="12" t="n"/>
      <c r="I16" s="17" t="n">
        <v>278.95</v>
      </c>
    </row>
    <row r="17">
      <c r="A17" s="12" t="inlineStr">
        <is>
          <t>Jun-2025</t>
        </is>
      </c>
      <c r="B17" s="13" t="n">
        <v>8845297.970000001</v>
      </c>
      <c r="C17" s="13" t="n">
        <v>324853</v>
      </c>
      <c r="D17" s="13" t="n">
        <v>15752072.37</v>
      </c>
      <c r="E17" s="13" t="n">
        <v>11433668.27</v>
      </c>
      <c r="F17" s="18" t="n">
        <v>0.0757</v>
      </c>
      <c r="G17" s="13" t="n">
        <v>8566698.75</v>
      </c>
      <c r="H17" s="13" t="n">
        <v>8572459.039999999</v>
      </c>
      <c r="I17" s="17" t="n">
        <v>354.56</v>
      </c>
    </row>
    <row r="18">
      <c r="A18" s="12" t="inlineStr">
        <is>
          <t>Jul-2025</t>
        </is>
      </c>
      <c r="B18" s="13" t="n">
        <v>10486353.14</v>
      </c>
      <c r="C18" s="13" t="n">
        <v>369604</v>
      </c>
      <c r="D18" s="13" t="n">
        <v>16441659.72</v>
      </c>
      <c r="E18" s="13" t="n">
        <v>14216389.83</v>
      </c>
      <c r="F18" s="18" t="n">
        <v>0.1855</v>
      </c>
      <c r="G18" s="13" t="n">
        <v>9184744.060000001</v>
      </c>
      <c r="H18" s="13" t="n">
        <v>8874493.640000001</v>
      </c>
      <c r="I18" s="17" t="n">
        <v>418.53</v>
      </c>
    </row>
    <row r="19">
      <c r="A19" s="12" t="inlineStr">
        <is>
          <t>Aug-2025</t>
        </is>
      </c>
      <c r="B19" s="13" t="n">
        <v>14731533.2</v>
      </c>
      <c r="C19" s="13" t="n">
        <v>548178</v>
      </c>
      <c r="D19" s="13" t="n">
        <v>13090063.81</v>
      </c>
      <c r="E19" s="13" t="n">
        <v>16366021.34</v>
      </c>
      <c r="F19" s="18" t="n">
        <v>0.4048</v>
      </c>
      <c r="G19" s="13" t="n">
        <v>11354394.77</v>
      </c>
      <c r="H19" s="13" t="n">
        <v>9439312.1</v>
      </c>
      <c r="I19" s="17" t="n">
        <v>442.63</v>
      </c>
    </row>
    <row r="20">
      <c r="A20" s="12" t="inlineStr">
        <is>
          <t>Sep-2025</t>
        </is>
      </c>
      <c r="B20" s="13" t="n">
        <v>14013474.94</v>
      </c>
      <c r="C20" s="13" t="n">
        <v>469086</v>
      </c>
      <c r="D20" s="13" t="n">
        <v>9106292.43</v>
      </c>
      <c r="E20" s="13" t="n">
        <v>13827082.17</v>
      </c>
      <c r="F20" s="18" t="n">
        <v>-0.0487</v>
      </c>
      <c r="G20" s="13" t="n">
        <v>13077120.43</v>
      </c>
      <c r="H20" s="13" t="n">
        <v>9939925.18</v>
      </c>
      <c r="I20" s="17" t="n">
        <v>417.09</v>
      </c>
    </row>
    <row r="21">
      <c r="A21" s="12" t="inlineStr">
        <is>
          <t>Oct-2025</t>
        </is>
      </c>
      <c r="B21" s="13" t="n">
        <v>10234480.36</v>
      </c>
      <c r="C21" s="13" t="n">
        <v>334942</v>
      </c>
      <c r="D21" s="13" t="n">
        <v>12254573.44</v>
      </c>
      <c r="E21" s="13" t="n">
        <v>10420047.94</v>
      </c>
      <c r="F21" s="18" t="n">
        <v>-0.2697</v>
      </c>
      <c r="G21" s="13" t="n">
        <v>12993162.83</v>
      </c>
      <c r="H21" s="13" t="n">
        <v>10099159.71</v>
      </c>
      <c r="I21" s="17" t="n">
        <v>361.76</v>
      </c>
    </row>
    <row r="22">
      <c r="A22" s="12" t="inlineStr">
        <is>
          <t>Nov-2025</t>
        </is>
      </c>
      <c r="B22" s="13" t="n">
        <v>9131693.51</v>
      </c>
      <c r="C22" s="13" t="n">
        <v>314652</v>
      </c>
      <c r="D22" s="13" t="n">
        <v>12895824.95</v>
      </c>
      <c r="E22" s="13" t="n">
        <v>10798432.1</v>
      </c>
      <c r="F22" s="18" t="n">
        <v>-0.1078</v>
      </c>
      <c r="G22" s="13" t="n">
        <v>11126549.6</v>
      </c>
      <c r="H22" s="13" t="n">
        <v>10258099.17</v>
      </c>
      <c r="I22" s="17" t="n">
        <v>342.63</v>
      </c>
    </row>
    <row r="23">
      <c r="A23" s="12" t="inlineStr">
        <is>
          <t>Dec-2025</t>
        </is>
      </c>
      <c r="B23" s="13" t="n">
        <v>10804162</v>
      </c>
      <c r="C23" s="13" t="n">
        <v>353239</v>
      </c>
      <c r="D23" s="13" t="n">
        <v>13150862.75</v>
      </c>
      <c r="E23" s="13" t="n">
        <v>13337268.36</v>
      </c>
      <c r="F23" s="18" t="n">
        <v>0.1831</v>
      </c>
      <c r="G23" s="13" t="n">
        <v>10056778.62</v>
      </c>
      <c r="H23" s="13" t="n">
        <v>10541124.62</v>
      </c>
      <c r="I23" s="17" t="n">
        <v>405.77</v>
      </c>
    </row>
    <row r="24">
      <c r="A24" s="12" t="inlineStr">
        <is>
          <t>Jan-2026</t>
        </is>
      </c>
      <c r="B24" s="13" t="n">
        <v>11504510.02</v>
      </c>
      <c r="C24" s="13" t="n">
        <v>364041</v>
      </c>
      <c r="D24" s="13" t="n">
        <v>10328265.86</v>
      </c>
      <c r="E24" s="13" t="n">
        <v>13501609.93</v>
      </c>
      <c r="F24" s="18" t="n">
        <v>0.0648</v>
      </c>
      <c r="G24" s="13" t="n">
        <v>10480121.84</v>
      </c>
      <c r="H24" s="13" t="n">
        <v>10480856.78</v>
      </c>
      <c r="I24" s="17" t="n">
        <v>489.6</v>
      </c>
    </row>
    <row r="25">
      <c r="A25" s="12" t="inlineStr">
        <is>
          <t>Feb-2026</t>
        </is>
      </c>
      <c r="B25" s="13" t="n">
        <v>11137924.02</v>
      </c>
      <c r="C25" s="13" t="n">
        <v>362082</v>
      </c>
      <c r="D25" s="13" t="n">
        <v>7866085.44</v>
      </c>
      <c r="E25" s="13" t="n">
        <v>9017680.960000001</v>
      </c>
      <c r="F25" s="18" t="n">
        <v>-0.0319</v>
      </c>
      <c r="G25" s="13" t="n">
        <v>11148865.35</v>
      </c>
      <c r="H25" s="13" t="n">
        <v>10534045.73</v>
      </c>
      <c r="I25" s="17" t="n">
        <v>434.65</v>
      </c>
    </row>
    <row r="26">
      <c r="A26" s="12" t="inlineStr">
        <is>
          <t>Mar-2026</t>
        </is>
      </c>
      <c r="B26" s="13" t="n">
        <v>7331727.55</v>
      </c>
      <c r="C26" s="13" t="n">
        <v>246649</v>
      </c>
      <c r="D26" s="13" t="n">
        <v>10454875.64</v>
      </c>
      <c r="E26" s="13" t="n">
        <v>10086112.73</v>
      </c>
      <c r="F26" s="18" t="n">
        <v>-0.3417</v>
      </c>
      <c r="G26" s="13" t="n">
        <v>9991387.199999999</v>
      </c>
      <c r="H26" s="13" t="n">
        <v>10422996.25</v>
      </c>
      <c r="I26" s="17" t="n">
        <v>400.86</v>
      </c>
    </row>
    <row r="27">
      <c r="A27" s="12" t="inlineStr">
        <is>
          <t>Apr-2026</t>
        </is>
      </c>
      <c r="B27" s="13" t="n">
        <v>8732262.289999999</v>
      </c>
      <c r="C27" s="13" t="n">
        <v>293332</v>
      </c>
      <c r="D27" s="13" t="n">
        <v>9388811.560000001</v>
      </c>
      <c r="E27" s="13" t="n">
        <v>9043771.470000001</v>
      </c>
      <c r="F27" s="18" t="n">
        <v>0.191</v>
      </c>
      <c r="G27" s="13" t="n">
        <v>9067304.619999999</v>
      </c>
      <c r="H27" s="13" t="n">
        <v>10431333.34</v>
      </c>
      <c r="I27" s="17" t="n">
        <v>349.84</v>
      </c>
    </row>
    <row r="28">
      <c r="A28" s="12" t="inlineStr">
        <is>
          <t>May-2026</t>
        </is>
      </c>
      <c r="B28" s="13" t="n">
        <v>8020497.75</v>
      </c>
      <c r="C28" s="13" t="n">
        <v>265925</v>
      </c>
      <c r="D28" s="13" t="n">
        <v>14017413.22</v>
      </c>
      <c r="E28" s="13" t="n">
        <v>10791372.46</v>
      </c>
      <c r="F28" s="18" t="n">
        <v>-0.0815</v>
      </c>
      <c r="G28" s="13" t="n">
        <v>8028162.53</v>
      </c>
      <c r="H28" s="13" t="n">
        <v>10414493.06</v>
      </c>
      <c r="I28" s="17" t="n">
        <v>317.58</v>
      </c>
    </row>
    <row r="29">
      <c r="A29" s="12" t="inlineStr">
        <is>
          <t>Jun-2026</t>
        </is>
      </c>
      <c r="B29" s="13" t="n">
        <v>8809441.949999999</v>
      </c>
      <c r="C29" s="13" t="n">
        <v>292933</v>
      </c>
      <c r="D29" s="13" t="n">
        <v>11452848.52</v>
      </c>
      <c r="E29" s="13" t="n">
        <v>12803126.9</v>
      </c>
      <c r="F29" s="18" t="n">
        <v>0.0984</v>
      </c>
      <c r="G29" s="13" t="n">
        <v>8520734</v>
      </c>
      <c r="H29" s="13" t="n">
        <v>10411505.06</v>
      </c>
      <c r="I29" s="17" t="n">
        <v>376.17</v>
      </c>
    </row>
    <row r="30">
      <c r="A30" s="12" t="inlineStr">
        <is>
          <t>Jul-2026</t>
        </is>
      </c>
      <c r="B30" s="13" t="n">
        <v>11480271.5</v>
      </c>
      <c r="C30" s="13" t="n">
        <v>373232</v>
      </c>
      <c r="D30" s="13" t="n">
        <v>15822840.64</v>
      </c>
      <c r="E30" s="13" t="n">
        <v>11155401.88</v>
      </c>
      <c r="F30" s="18" t="n">
        <v>0.3032</v>
      </c>
      <c r="G30" s="13" t="n">
        <v>9436737.07</v>
      </c>
      <c r="H30" s="13" t="n">
        <v>10494331.59</v>
      </c>
      <c r="I30" s="17" t="n">
        <v>443.12</v>
      </c>
    </row>
    <row r="31">
      <c r="A31" s="12" t="inlineStr">
        <is>
          <t>Aug-2026</t>
        </is>
      </c>
      <c r="B31" s="13" t="n">
        <v>11285273.67</v>
      </c>
      <c r="C31" s="13" t="n">
        <v>378700</v>
      </c>
      <c r="D31" s="13" t="n">
        <v>2936502.16</v>
      </c>
      <c r="E31" s="13" t="n">
        <v>12583307.99</v>
      </c>
      <c r="F31" s="18" t="n">
        <v>-0.017</v>
      </c>
      <c r="G31" s="13" t="n">
        <v>10524995.71</v>
      </c>
      <c r="H31" s="13" t="n">
        <v>10207143.3</v>
      </c>
      <c r="I31" s="17" t="n">
        <v>483.37</v>
      </c>
    </row>
    <row r="32">
      <c r="A32" s="12" t="inlineStr">
        <is>
          <t>Sep-2026</t>
        </is>
      </c>
      <c r="B32" s="13" t="n">
        <v>11002831.71</v>
      </c>
      <c r="C32" s="13" t="n">
        <v>318879</v>
      </c>
      <c r="D32" s="13" t="n">
        <v>0</v>
      </c>
      <c r="E32" s="13" t="n">
        <v>4632081.39</v>
      </c>
      <c r="F32" s="18" t="n">
        <v>-0.025</v>
      </c>
      <c r="G32" s="13" t="n">
        <v>11256125.63</v>
      </c>
      <c r="H32" s="13" t="n">
        <v>9956256.359999999</v>
      </c>
      <c r="I32" s="17" t="n">
        <v>450.4</v>
      </c>
    </row>
    <row r="33">
      <c r="A33" s="19" t="inlineStr">
        <is>
          <t>Total</t>
        </is>
      </c>
      <c r="B33" s="20" t="n">
        <v>261575946.1</v>
      </c>
      <c r="C33" s="20" t="n">
        <v>8959323</v>
      </c>
      <c r="D33" s="20" t="n">
        <v>287493304.49</v>
      </c>
      <c r="E33" s="20" t="n">
        <v>293600782.29</v>
      </c>
    </row>
    <row r="58">
      <c r="A58" s="10" t="inlineStr">
        <is>
          <t>Seasonality – average consumption value by calendar month</t>
        </is>
      </c>
    </row>
    <row r="59" ht="30" customHeight="1">
      <c r="A59" s="11" t="inlineStr">
        <is>
          <t>Calendar month</t>
        </is>
      </c>
      <c r="B59" s="11" t="inlineStr">
        <is>
          <t>Avg consumption value</t>
        </is>
      </c>
      <c r="C59" s="11" t="inlineStr">
        <is>
          <t>Avg quantity issued</t>
        </is>
      </c>
      <c r="D59" s="11" t="inlineStr">
        <is>
          <t>Index (Jan-2025 = 100)</t>
        </is>
      </c>
    </row>
    <row r="60">
      <c r="A60" s="12" t="inlineStr">
        <is>
          <t>January</t>
        </is>
      </c>
      <c r="B60" s="13" t="n">
        <v>11866117.05</v>
      </c>
      <c r="C60" s="13" t="n">
        <v>390365</v>
      </c>
      <c r="D60" s="21" t="n">
        <v>100</v>
      </c>
    </row>
    <row r="61">
      <c r="A61" s="12" t="inlineStr">
        <is>
          <t>February</t>
        </is>
      </c>
      <c r="B61" s="13" t="n">
        <v>10818790.32</v>
      </c>
      <c r="C61" s="13" t="n">
        <v>369203</v>
      </c>
      <c r="D61" s="21" t="n">
        <v>91.2</v>
      </c>
    </row>
    <row r="62">
      <c r="A62" s="12" t="inlineStr">
        <is>
          <t>March</t>
        </is>
      </c>
      <c r="B62" s="13" t="n">
        <v>7998024.47</v>
      </c>
      <c r="C62" s="13" t="n">
        <v>284032</v>
      </c>
      <c r="D62" s="21" t="n">
        <v>67.40000000000001</v>
      </c>
    </row>
    <row r="63">
      <c r="A63" s="12" t="inlineStr">
        <is>
          <t>April</t>
        </is>
      </c>
      <c r="B63" s="13" t="n">
        <v>8682239.75</v>
      </c>
      <c r="C63" s="13" t="n">
        <v>294944</v>
      </c>
      <c r="D63" s="21" t="n">
        <v>73.2</v>
      </c>
    </row>
    <row r="64">
      <c r="A64" s="12" t="inlineStr">
        <is>
          <t>May</t>
        </is>
      </c>
      <c r="B64" s="13" t="n">
        <v>8121539.4</v>
      </c>
      <c r="C64" s="13" t="n">
        <v>273230</v>
      </c>
      <c r="D64" s="21" t="n">
        <v>68.40000000000001</v>
      </c>
    </row>
    <row r="65">
      <c r="A65" s="12" t="inlineStr">
        <is>
          <t>June</t>
        </is>
      </c>
      <c r="B65" s="13" t="n">
        <v>8827369.960000001</v>
      </c>
      <c r="C65" s="13" t="n">
        <v>308893</v>
      </c>
      <c r="D65" s="21" t="n">
        <v>74.40000000000001</v>
      </c>
    </row>
    <row r="66">
      <c r="A66" s="12" t="inlineStr">
        <is>
          <t>July</t>
        </is>
      </c>
      <c r="B66" s="13" t="n">
        <v>9609520.85</v>
      </c>
      <c r="C66" s="13" t="n">
        <v>332579</v>
      </c>
      <c r="D66" s="21" t="n">
        <v>81</v>
      </c>
    </row>
    <row r="67">
      <c r="A67" s="12" t="inlineStr">
        <is>
          <t>August</t>
        </is>
      </c>
      <c r="B67" s="13" t="n">
        <v>11323506.18</v>
      </c>
      <c r="C67" s="13" t="n">
        <v>399239</v>
      </c>
      <c r="D67" s="21" t="n">
        <v>95.40000000000001</v>
      </c>
    </row>
    <row r="68">
      <c r="A68" s="12" t="inlineStr">
        <is>
          <t>September</t>
        </is>
      </c>
      <c r="B68" s="13" t="n">
        <v>11007474.88</v>
      </c>
      <c r="C68" s="13" t="n">
        <v>358033</v>
      </c>
      <c r="D68" s="21" t="n">
        <v>92.8</v>
      </c>
    </row>
    <row r="69">
      <c r="A69" s="12" t="inlineStr">
        <is>
          <t>October</t>
        </is>
      </c>
      <c r="B69" s="13" t="n">
        <v>9279073.23</v>
      </c>
      <c r="C69" s="13" t="n">
        <v>313848</v>
      </c>
      <c r="D69" s="21" t="n">
        <v>78.2</v>
      </c>
    </row>
    <row r="70">
      <c r="A70" s="12" t="inlineStr">
        <is>
          <t>November</t>
        </is>
      </c>
      <c r="B70" s="13" t="n">
        <v>8178056.76</v>
      </c>
      <c r="C70" s="13" t="n">
        <v>285057</v>
      </c>
      <c r="D70" s="21" t="n">
        <v>68.90000000000001</v>
      </c>
    </row>
    <row r="71">
      <c r="A71" s="12" t="inlineStr">
        <is>
          <t>December</t>
        </is>
      </c>
      <c r="B71" s="13" t="n">
        <v>9106009.26</v>
      </c>
      <c r="C71" s="13" t="n">
        <v>325311</v>
      </c>
      <c r="D71" s="21" t="n">
        <v>76.7</v>
      </c>
    </row>
  </sheetData>
  <mergeCells count="1"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3B57"/>
    <outlinePr summaryBelow="1" summaryRight="1"/>
    <pageSetUpPr/>
  </sheetPr>
  <dimension ref="A1:L30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4" customWidth="1" min="4" max="4"/>
    <col width="16" customWidth="1" min="5" max="5"/>
    <col width="16" customWidth="1" min="6" max="6"/>
    <col width="10" customWidth="1" min="7" max="7"/>
    <col width="16" customWidth="1" min="8" max="8"/>
    <col width="16" customWidth="1" min="9" max="9"/>
    <col width="14" customWidth="1" min="10" max="10"/>
    <col width="16" customWidth="1" min="11" max="11"/>
    <col width="14" customWidth="1" min="12" max="12"/>
  </cols>
  <sheetData>
    <row r="1">
      <c r="A1" s="1" t="inlineStr">
        <is>
          <t>Project-wise Consumption versus Investment</t>
        </is>
      </c>
    </row>
    <row r="2">
      <c r="A2" s="2" t="inlineStr">
        <is>
          <t>Consumption excludes transfers. Ratio = consumption / investment. Variance = investment - consumption. Cumulative covers the full reporting window.</t>
        </is>
      </c>
    </row>
    <row r="3" ht="6" customHeight="1"/>
    <row r="5" ht="30" customHeight="1">
      <c r="A5" s="11" t="inlineStr">
        <is>
          <t>Project ID</t>
        </is>
      </c>
      <c r="B5" s="11" t="inlineStr">
        <is>
          <t>Project</t>
        </is>
      </c>
      <c r="C5" s="11" t="inlineStr">
        <is>
          <t>Donor</t>
        </is>
      </c>
      <c r="D5" s="11" t="inlineStr">
        <is>
          <t>Sector</t>
        </is>
      </c>
      <c r="E5" s="11" t="inlineStr">
        <is>
          <t>Consumption value</t>
        </is>
      </c>
      <c r="F5" s="11" t="inlineStr">
        <is>
          <t>Investment (PO)</t>
        </is>
      </c>
      <c r="G5" s="11" t="inlineStr">
        <is>
          <t>Ratio</t>
        </is>
      </c>
      <c r="H5" s="11" t="inlineStr">
        <is>
          <t>Variance</t>
        </is>
      </c>
      <c r="I5" s="11" t="inlineStr">
        <is>
          <t>Consumption FY2026-27</t>
        </is>
      </c>
      <c r="J5" s="11" t="inlineStr">
        <is>
          <t>Beneficiaries</t>
        </is>
      </c>
      <c r="K5" s="11" t="inlineStr">
        <is>
          <t>Cost per beneficiary</t>
        </is>
      </c>
      <c r="L5" s="11" t="inlineStr">
        <is>
          <t>Budget</t>
        </is>
      </c>
    </row>
    <row r="6">
      <c r="A6" s="22" t="inlineStr">
        <is>
          <t>PRJ-001</t>
        </is>
      </c>
      <c r="B6" s="22" t="inlineStr">
        <is>
          <t>Maternal &amp; Child Health Programme - Korangi</t>
        </is>
      </c>
      <c r="C6" s="22" t="inlineStr">
        <is>
          <t>UNICEF Pakistan</t>
        </is>
      </c>
      <c r="D6" s="22" t="inlineStr">
        <is>
          <t>MCH</t>
        </is>
      </c>
      <c r="E6" s="23" t="n">
        <v>60615277.21</v>
      </c>
      <c r="F6" s="23" t="n">
        <v>71063084.76000001</v>
      </c>
      <c r="G6" s="24" t="n">
        <v>0.85</v>
      </c>
      <c r="H6" s="23" t="n">
        <v>10447807.55</v>
      </c>
      <c r="I6" s="23" t="n">
        <v>8500618.949999999</v>
      </c>
      <c r="J6" s="23" t="n">
        <v>130979</v>
      </c>
      <c r="K6" s="25" t="n">
        <v>462.79</v>
      </c>
      <c r="L6" s="23" t="n">
        <v>65673000</v>
      </c>
    </row>
    <row r="7">
      <c r="A7" s="22" t="inlineStr">
        <is>
          <t>PRJ-002</t>
        </is>
      </c>
      <c r="B7" s="22" t="inlineStr">
        <is>
          <t>Nutrition Stabilisation Centre - Malir</t>
        </is>
      </c>
      <c r="C7" s="22" t="inlineStr">
        <is>
          <t>UNICEF Pakistan</t>
        </is>
      </c>
      <c r="D7" s="22" t="inlineStr">
        <is>
          <t>Nutrition</t>
        </is>
      </c>
      <c r="E7" s="23" t="n">
        <v>45507230.07</v>
      </c>
      <c r="F7" s="23" t="n">
        <v>54631639.03</v>
      </c>
      <c r="G7" s="24" t="n">
        <v>0.83</v>
      </c>
      <c r="H7" s="23" t="n">
        <v>9124408.960000001</v>
      </c>
      <c r="I7" s="23" t="n">
        <v>6200856.34</v>
      </c>
      <c r="J7" s="23" t="n">
        <v>90981</v>
      </c>
      <c r="K7" s="25" t="n">
        <v>500.18</v>
      </c>
      <c r="L7" s="23" t="n">
        <v>42754000</v>
      </c>
    </row>
    <row r="8">
      <c r="A8" s="22" t="inlineStr">
        <is>
          <t>PRJ-003</t>
        </is>
      </c>
      <c r="B8" s="22" t="inlineStr">
        <is>
          <t>TB DOTS Expansion - Karachi South</t>
        </is>
      </c>
      <c r="C8" s="22" t="inlineStr">
        <is>
          <t>The Global Fund</t>
        </is>
      </c>
      <c r="D8" s="22" t="inlineStr">
        <is>
          <t>TB</t>
        </is>
      </c>
      <c r="E8" s="23" t="n">
        <v>33066016.11</v>
      </c>
      <c r="F8" s="23" t="n">
        <v>39199248.43</v>
      </c>
      <c r="G8" s="24" t="n">
        <v>0.84</v>
      </c>
      <c r="H8" s="23" t="n">
        <v>6133232.32</v>
      </c>
      <c r="I8" s="23" t="n">
        <v>4842245.04</v>
      </c>
      <c r="J8" s="23" t="n">
        <v>99540</v>
      </c>
      <c r="K8" s="25" t="n">
        <v>332.19</v>
      </c>
      <c r="L8" s="23" t="n">
        <v>52914000</v>
      </c>
    </row>
    <row r="9">
      <c r="A9" s="22" t="inlineStr">
        <is>
          <t>PRJ-004</t>
        </is>
      </c>
      <c r="B9" s="22" t="inlineStr">
        <is>
          <t>Primary Healthcare Support - Tharparkar</t>
        </is>
      </c>
      <c r="C9" s="22" t="inlineStr">
        <is>
          <t>PPAF</t>
        </is>
      </c>
      <c r="D9" s="22" t="inlineStr">
        <is>
          <t>PHC</t>
        </is>
      </c>
      <c r="E9" s="23" t="n">
        <v>30079464.34</v>
      </c>
      <c r="F9" s="23" t="n">
        <v>36412078.57</v>
      </c>
      <c r="G9" s="24" t="n">
        <v>0.83</v>
      </c>
      <c r="H9" s="23" t="n">
        <v>6332614.23</v>
      </c>
      <c r="I9" s="23" t="n">
        <v>5276663.4</v>
      </c>
      <c r="J9" s="23" t="n">
        <v>74490</v>
      </c>
      <c r="K9" s="25" t="n">
        <v>403.81</v>
      </c>
      <c r="L9" s="23" t="n">
        <v>41049000</v>
      </c>
    </row>
    <row r="10">
      <c r="A10" s="22" t="inlineStr">
        <is>
          <t>PRJ-010</t>
        </is>
      </c>
      <c r="B10" s="22" t="inlineStr">
        <is>
          <t>Thalassaemia Support Programme - Gadap</t>
        </is>
      </c>
      <c r="C10" s="22" t="inlineStr">
        <is>
          <t>Vital Pakistan Trust (Self-funded)</t>
        </is>
      </c>
      <c r="D10" s="22" t="inlineStr">
        <is>
          <t>Chronic care</t>
        </is>
      </c>
      <c r="E10" s="23" t="n">
        <v>24076941.05</v>
      </c>
      <c r="F10" s="23" t="n">
        <v>27616630.86</v>
      </c>
      <c r="G10" s="24" t="n">
        <v>0.87</v>
      </c>
      <c r="H10" s="23" t="n">
        <v>3539689.81</v>
      </c>
      <c r="I10" s="23" t="n">
        <v>3360531.64</v>
      </c>
      <c r="J10" s="23" t="n">
        <v>76033</v>
      </c>
      <c r="K10" s="25" t="n">
        <v>316.66</v>
      </c>
      <c r="L10" s="23" t="n">
        <v>30302000</v>
      </c>
    </row>
    <row r="11">
      <c r="A11" s="22" t="inlineStr">
        <is>
          <t>PRJ-008</t>
        </is>
      </c>
      <c r="B11" s="22" t="inlineStr">
        <is>
          <t>Emergency Obstetric Care - Lyari</t>
        </is>
      </c>
      <c r="C11" s="22" t="inlineStr">
        <is>
          <t>Vital Pakistan Trust (Self-funded)</t>
        </is>
      </c>
      <c r="D11" s="22" t="inlineStr">
        <is>
          <t>MCH</t>
        </is>
      </c>
      <c r="E11" s="23" t="n">
        <v>16788576.77</v>
      </c>
      <c r="F11" s="23" t="n">
        <v>19804846.8</v>
      </c>
      <c r="G11" s="24" t="n">
        <v>0.85</v>
      </c>
      <c r="H11" s="23" t="n">
        <v>3016270.03</v>
      </c>
      <c r="I11" s="23" t="n">
        <v>2774095.67</v>
      </c>
      <c r="J11" s="23" t="n">
        <v>45727</v>
      </c>
      <c r="K11" s="25" t="n">
        <v>367.15</v>
      </c>
      <c r="L11" s="23" t="n">
        <v>23155000</v>
      </c>
    </row>
    <row r="12">
      <c r="A12" s="22" t="inlineStr">
        <is>
          <t>PRJ-006</t>
        </is>
      </c>
      <c r="B12" s="22" t="inlineStr">
        <is>
          <t>Rural Health Centre Strengthening - Jamshoro</t>
        </is>
      </c>
      <c r="C12" s="22" t="inlineStr">
        <is>
          <t>Sindh Health Department</t>
        </is>
      </c>
      <c r="D12" s="22" t="inlineStr">
        <is>
          <t>PHC</t>
        </is>
      </c>
      <c r="E12" s="23" t="n">
        <v>14971323.73</v>
      </c>
      <c r="F12" s="23" t="n">
        <v>17881525.97</v>
      </c>
      <c r="G12" s="24" t="n">
        <v>0.84</v>
      </c>
      <c r="H12" s="23" t="n">
        <v>2910202.24</v>
      </c>
      <c r="I12" s="23" t="n">
        <v>2399268.38</v>
      </c>
      <c r="J12" s="23" t="n">
        <v>48539</v>
      </c>
      <c r="K12" s="25" t="n">
        <v>308.44</v>
      </c>
      <c r="L12" s="23" t="n">
        <v>27973000</v>
      </c>
    </row>
    <row r="13">
      <c r="A13" s="22" t="inlineStr">
        <is>
          <t>PRJ-007</t>
        </is>
      </c>
      <c r="B13" s="22" t="inlineStr">
        <is>
          <t>Community Health Worker Programme - Bin Qasim</t>
        </is>
      </c>
      <c r="C13" s="22" t="inlineStr">
        <is>
          <t>Engro Foundation</t>
        </is>
      </c>
      <c r="D13" s="22" t="inlineStr">
        <is>
          <t>Community</t>
        </is>
      </c>
      <c r="E13" s="23" t="n">
        <v>13107603.79</v>
      </c>
      <c r="F13" s="23" t="n">
        <v>14718439.63</v>
      </c>
      <c r="G13" s="24" t="n">
        <v>0.89</v>
      </c>
      <c r="H13" s="23" t="n">
        <v>1610835.84</v>
      </c>
      <c r="I13" s="23" t="n">
        <v>0</v>
      </c>
      <c r="J13" s="23" t="n">
        <v>47587</v>
      </c>
      <c r="K13" s="25" t="n">
        <v>275.45</v>
      </c>
      <c r="L13" s="23" t="n">
        <v>19626000</v>
      </c>
    </row>
    <row r="14">
      <c r="A14" s="22" t="inlineStr">
        <is>
          <t>PRJ-005</t>
        </is>
      </c>
      <c r="B14" s="22" t="inlineStr">
        <is>
          <t>Flood Response &amp; Health Recovery - Dadu</t>
        </is>
      </c>
      <c r="C14" s="22" t="inlineStr">
        <is>
          <t>World Health Organization</t>
        </is>
      </c>
      <c r="D14" s="22" t="inlineStr">
        <is>
          <t>Emergency</t>
        </is>
      </c>
      <c r="E14" s="23" t="n">
        <v>12627735.23</v>
      </c>
      <c r="F14" s="23" t="n">
        <v>14371378.58</v>
      </c>
      <c r="G14" s="24" t="n">
        <v>0.88</v>
      </c>
      <c r="H14" s="23" t="n">
        <v>1743643.35</v>
      </c>
      <c r="I14" s="23" t="n">
        <v>0</v>
      </c>
      <c r="J14" s="23" t="n">
        <v>46171</v>
      </c>
      <c r="K14" s="25" t="n">
        <v>273.5</v>
      </c>
      <c r="L14" s="23" t="n">
        <v>32494000</v>
      </c>
    </row>
    <row r="15">
      <c r="A15" s="22" t="inlineStr">
        <is>
          <t>GEN-0000</t>
        </is>
      </c>
      <c r="B15" s="22" t="inlineStr">
        <is>
          <t>Unattributed (generic cost centre)</t>
        </is>
      </c>
      <c r="C15" s="22" t="inlineStr">
        <is>
          <t>—</t>
        </is>
      </c>
      <c r="D15" s="22" t="inlineStr">
        <is>
          <t>—</t>
        </is>
      </c>
      <c r="E15" s="23" t="n">
        <v>6271240.95</v>
      </c>
      <c r="F15" s="23" t="n">
        <v>0</v>
      </c>
      <c r="G15" s="24" t="n"/>
      <c r="H15" s="23" t="n">
        <v>-6271240.95</v>
      </c>
      <c r="I15" s="23" t="n">
        <v>414097.46</v>
      </c>
      <c r="J15" s="23" t="n">
        <v>0</v>
      </c>
      <c r="K15" s="25" t="n"/>
      <c r="L15" s="23" t="n">
        <v>0</v>
      </c>
    </row>
    <row r="16">
      <c r="A16" s="22" t="inlineStr">
        <is>
          <t>PRJ-009</t>
        </is>
      </c>
      <c r="B16" s="22" t="inlineStr">
        <is>
          <t>Hepatitis B &amp; C Screening - Keamari</t>
        </is>
      </c>
      <c r="C16" s="22" t="inlineStr">
        <is>
          <t>Sindh Health Department</t>
        </is>
      </c>
      <c r="D16" s="22" t="inlineStr">
        <is>
          <t>PHC</t>
        </is>
      </c>
      <c r="E16" s="23" t="n">
        <v>4464536.85</v>
      </c>
      <c r="F16" s="23" t="n">
        <v>5146186.97</v>
      </c>
      <c r="G16" s="24" t="n">
        <v>0.87</v>
      </c>
      <c r="H16" s="23" t="n">
        <v>681650.12</v>
      </c>
      <c r="I16" s="23" t="n">
        <v>0</v>
      </c>
      <c r="J16" s="23" t="n">
        <v>19704</v>
      </c>
      <c r="K16" s="25" t="n">
        <v>226.58</v>
      </c>
      <c r="L16" s="23" t="n">
        <v>6297000</v>
      </c>
    </row>
    <row r="17">
      <c r="A17" s="26" t="inlineStr"/>
      <c r="B17" s="26" t="inlineStr">
        <is>
          <t>TOTAL</t>
        </is>
      </c>
      <c r="C17" s="26" t="inlineStr"/>
      <c r="D17" s="26" t="inlineStr"/>
      <c r="E17" s="27" t="n">
        <v>261575946.1</v>
      </c>
      <c r="F17" s="27" t="n">
        <v>300845059.6</v>
      </c>
      <c r="G17" s="28" t="n">
        <v>0.87</v>
      </c>
      <c r="H17" s="27" t="n">
        <v>39269113.5</v>
      </c>
      <c r="I17" s="27" t="n">
        <v>33768376.88</v>
      </c>
      <c r="J17" s="27" t="n">
        <v>679751</v>
      </c>
      <c r="K17" s="29" t="n">
        <v>384.81</v>
      </c>
      <c r="L17" s="27" t="n">
        <v>342237000</v>
      </c>
    </row>
    <row r="19">
      <c r="A19" s="10" t="inlineStr">
        <is>
          <t>Project progress against life cycle</t>
        </is>
      </c>
    </row>
    <row r="20" ht="30" customHeight="1">
      <c r="A20" s="11" t="inlineStr">
        <is>
          <t>Project ID</t>
        </is>
      </c>
      <c r="B20" s="11" t="inlineStr">
        <is>
          <t>Project</t>
        </is>
      </c>
      <c r="C20" s="11" t="inlineStr">
        <is>
          <t>Start</t>
        </is>
      </c>
      <c r="D20" s="11" t="inlineStr">
        <is>
          <t>End</t>
        </is>
      </c>
      <c r="E20" s="11" t="inlineStr">
        <is>
          <t>Elapsed %</t>
        </is>
      </c>
      <c r="F20" s="11" t="inlineStr">
        <is>
          <t>Status</t>
        </is>
      </c>
      <c r="G20" s="11" t="inlineStr">
        <is>
          <t>Consumption to date</t>
        </is>
      </c>
      <c r="H20" s="11" t="inlineStr">
        <is>
          <t>Budget</t>
        </is>
      </c>
      <c r="I20" s="11" t="inlineStr">
        <is>
          <t>Budget utilised</t>
        </is>
      </c>
      <c r="J20" s="11" t="inlineStr">
        <is>
          <t>Days remaining</t>
        </is>
      </c>
    </row>
    <row r="21">
      <c r="A21" s="22" t="inlineStr">
        <is>
          <t>PRJ-001</t>
        </is>
      </c>
      <c r="B21" s="22" t="inlineStr">
        <is>
          <t>Maternal &amp; Child Health Programme - Korangi</t>
        </is>
      </c>
      <c r="C21" s="30" t="n">
        <v>45474</v>
      </c>
      <c r="D21" s="30" t="n">
        <v>46387</v>
      </c>
      <c r="E21" s="31" t="n">
        <v>0.8992</v>
      </c>
      <c r="F21" s="22" t="inlineStr">
        <is>
          <t>Active</t>
        </is>
      </c>
      <c r="G21" s="23" t="n">
        <v>60615277.21</v>
      </c>
      <c r="H21" s="23" t="n">
        <v>65673000</v>
      </c>
      <c r="I21" s="31" t="n">
        <v>0.923</v>
      </c>
      <c r="J21" s="23" t="n">
        <v>92</v>
      </c>
    </row>
    <row r="22">
      <c r="A22" s="22" t="inlineStr">
        <is>
          <t>PRJ-002</t>
        </is>
      </c>
      <c r="B22" s="22" t="inlineStr">
        <is>
          <t>Nutrition Stabilisation Centre - Malir</t>
        </is>
      </c>
      <c r="C22" s="30" t="n">
        <v>45474</v>
      </c>
      <c r="D22" s="30" t="n">
        <v>46387</v>
      </c>
      <c r="E22" s="31" t="n">
        <v>0.8992</v>
      </c>
      <c r="F22" s="22" t="inlineStr">
        <is>
          <t>Active</t>
        </is>
      </c>
      <c r="G22" s="23" t="n">
        <v>45507230.07</v>
      </c>
      <c r="H22" s="23" t="n">
        <v>42754000</v>
      </c>
      <c r="I22" s="31" t="n">
        <v>1.0644</v>
      </c>
      <c r="J22" s="23" t="n">
        <v>92</v>
      </c>
    </row>
    <row r="23">
      <c r="A23" s="22" t="inlineStr">
        <is>
          <t>PRJ-003</t>
        </is>
      </c>
      <c r="B23" s="22" t="inlineStr">
        <is>
          <t>TB DOTS Expansion - Karachi South</t>
        </is>
      </c>
      <c r="C23" s="30" t="n">
        <v>45474</v>
      </c>
      <c r="D23" s="30" t="n">
        <v>46295</v>
      </c>
      <c r="E23" s="31" t="n">
        <v>1</v>
      </c>
      <c r="F23" s="22" t="inlineStr">
        <is>
          <t>Active</t>
        </is>
      </c>
      <c r="G23" s="23" t="n">
        <v>33066016.11</v>
      </c>
      <c r="H23" s="23" t="n">
        <v>52914000</v>
      </c>
      <c r="I23" s="31" t="n">
        <v>0.6249</v>
      </c>
      <c r="J23" s="23" t="n">
        <v>0</v>
      </c>
    </row>
    <row r="24">
      <c r="A24" s="22" t="inlineStr">
        <is>
          <t>PRJ-004</t>
        </is>
      </c>
      <c r="B24" s="22" t="inlineStr">
        <is>
          <t>Primary Healthcare Support - Tharparkar</t>
        </is>
      </c>
      <c r="C24" s="30" t="n">
        <v>45566</v>
      </c>
      <c r="D24" s="30" t="n">
        <v>46387</v>
      </c>
      <c r="E24" s="31" t="n">
        <v>0.8879</v>
      </c>
      <c r="F24" s="22" t="inlineStr">
        <is>
          <t>Active</t>
        </is>
      </c>
      <c r="G24" s="23" t="n">
        <v>30079464.34</v>
      </c>
      <c r="H24" s="23" t="n">
        <v>41049000</v>
      </c>
      <c r="I24" s="31" t="n">
        <v>0.7328</v>
      </c>
      <c r="J24" s="23" t="n">
        <v>92</v>
      </c>
    </row>
    <row r="25">
      <c r="A25" s="22" t="inlineStr">
        <is>
          <t>PRJ-005</t>
        </is>
      </c>
      <c r="B25" s="22" t="inlineStr">
        <is>
          <t>Flood Response &amp; Health Recovery - Dadu</t>
        </is>
      </c>
      <c r="C25" s="30" t="n">
        <v>45474</v>
      </c>
      <c r="D25" s="30" t="n">
        <v>46022</v>
      </c>
      <c r="E25" s="31" t="n">
        <v>1</v>
      </c>
      <c r="F25" s="22" t="inlineStr">
        <is>
          <t>Closed</t>
        </is>
      </c>
      <c r="G25" s="23" t="n">
        <v>12627735.23</v>
      </c>
      <c r="H25" s="23" t="n">
        <v>32494000</v>
      </c>
      <c r="I25" s="31" t="n">
        <v>0.3886</v>
      </c>
      <c r="J25" s="23" t="n">
        <v>0</v>
      </c>
    </row>
    <row r="26">
      <c r="A26" s="22" t="inlineStr">
        <is>
          <t>PRJ-006</t>
        </is>
      </c>
      <c r="B26" s="22" t="inlineStr">
        <is>
          <t>Rural Health Centre Strengthening - Jamshoro</t>
        </is>
      </c>
      <c r="C26" s="30" t="n">
        <v>45658</v>
      </c>
      <c r="D26" s="30" t="n">
        <v>46387</v>
      </c>
      <c r="E26" s="31" t="n">
        <v>0.8738</v>
      </c>
      <c r="F26" s="22" t="inlineStr">
        <is>
          <t>Active</t>
        </is>
      </c>
      <c r="G26" s="23" t="n">
        <v>14971323.73</v>
      </c>
      <c r="H26" s="23" t="n">
        <v>27973000</v>
      </c>
      <c r="I26" s="31" t="n">
        <v>0.5352</v>
      </c>
      <c r="J26" s="23" t="n">
        <v>92</v>
      </c>
    </row>
    <row r="27">
      <c r="A27" s="22" t="inlineStr">
        <is>
          <t>PRJ-007</t>
        </is>
      </c>
      <c r="B27" s="22" t="inlineStr">
        <is>
          <t>Community Health Worker Programme - Bin Qasim</t>
        </is>
      </c>
      <c r="C27" s="30" t="n">
        <v>45474</v>
      </c>
      <c r="D27" s="30" t="n">
        <v>46203</v>
      </c>
      <c r="E27" s="31" t="n">
        <v>1</v>
      </c>
      <c r="F27" s="22" t="inlineStr">
        <is>
          <t>Closed</t>
        </is>
      </c>
      <c r="G27" s="23" t="n">
        <v>13107603.79</v>
      </c>
      <c r="H27" s="23" t="n">
        <v>19626000</v>
      </c>
      <c r="I27" s="31" t="n">
        <v>0.6679</v>
      </c>
      <c r="J27" s="23" t="n">
        <v>0</v>
      </c>
    </row>
    <row r="28">
      <c r="A28" s="22" t="inlineStr">
        <is>
          <t>PRJ-008</t>
        </is>
      </c>
      <c r="B28" s="22" t="inlineStr">
        <is>
          <t>Emergency Obstetric Care - Lyari</t>
        </is>
      </c>
      <c r="C28" s="30" t="n">
        <v>45658</v>
      </c>
      <c r="D28" s="30" t="n">
        <v>46387</v>
      </c>
      <c r="E28" s="31" t="n">
        <v>0.8738</v>
      </c>
      <c r="F28" s="22" t="inlineStr">
        <is>
          <t>Active</t>
        </is>
      </c>
      <c r="G28" s="23" t="n">
        <v>16788576.77</v>
      </c>
      <c r="H28" s="23" t="n">
        <v>23155000</v>
      </c>
      <c r="I28" s="31" t="n">
        <v>0.7251</v>
      </c>
      <c r="J28" s="23" t="n">
        <v>92</v>
      </c>
    </row>
    <row r="29">
      <c r="A29" s="22" t="inlineStr">
        <is>
          <t>PRJ-009</t>
        </is>
      </c>
      <c r="B29" s="22" t="inlineStr">
        <is>
          <t>Hepatitis B &amp; C Screening - Keamari</t>
        </is>
      </c>
      <c r="C29" s="30" t="n">
        <v>45474</v>
      </c>
      <c r="D29" s="30" t="n">
        <v>45838</v>
      </c>
      <c r="E29" s="31" t="n">
        <v>1</v>
      </c>
      <c r="F29" s="22" t="inlineStr">
        <is>
          <t>Closed</t>
        </is>
      </c>
      <c r="G29" s="23" t="n">
        <v>4464536.85</v>
      </c>
      <c r="H29" s="23" t="n">
        <v>6297000</v>
      </c>
      <c r="I29" s="31" t="n">
        <v>0.709</v>
      </c>
      <c r="J29" s="23" t="n">
        <v>0</v>
      </c>
    </row>
    <row r="30">
      <c r="A30" s="22" t="inlineStr">
        <is>
          <t>PRJ-010</t>
        </is>
      </c>
      <c r="B30" s="22" t="inlineStr">
        <is>
          <t>Thalassaemia Support Programme - Gadap</t>
        </is>
      </c>
      <c r="C30" s="30" t="n">
        <v>45474</v>
      </c>
      <c r="D30" s="30" t="n">
        <v>46387</v>
      </c>
      <c r="E30" s="31" t="n">
        <v>0.8992</v>
      </c>
      <c r="F30" s="22" t="inlineStr">
        <is>
          <t>Active</t>
        </is>
      </c>
      <c r="G30" s="23" t="n">
        <v>24076941.05</v>
      </c>
      <c r="H30" s="23" t="n">
        <v>30302000</v>
      </c>
      <c r="I30" s="31" t="n">
        <v>0.7946</v>
      </c>
      <c r="J30" s="23" t="n">
        <v>92</v>
      </c>
    </row>
  </sheetData>
  <mergeCells count="1">
    <mergeCell ref="A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C78A8"/>
    <outlinePr summaryBelow="1" summaryRight="1"/>
    <pageSetUpPr/>
  </sheetPr>
  <dimension ref="A1:I17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Project × Category Consumption Matrix</t>
        </is>
      </c>
    </row>
    <row r="2">
      <c r="A2" s="2" t="inlineStr">
        <is>
          <t>Values in PKR. Totals reconcile to Project_Analysis.</t>
        </is>
      </c>
    </row>
    <row r="3" ht="6" customHeight="1"/>
    <row r="5" ht="30" customHeight="1">
      <c r="A5" s="11" t="inlineStr">
        <is>
          <t>Project ID</t>
        </is>
      </c>
      <c r="B5" s="11" t="inlineStr">
        <is>
          <t>Project</t>
        </is>
      </c>
      <c r="C5" s="11" t="inlineStr">
        <is>
          <t>Medicines</t>
        </is>
      </c>
      <c r="D5" s="11" t="inlineStr">
        <is>
          <t>Medical Consumables</t>
        </is>
      </c>
      <c r="E5" s="11" t="inlineStr">
        <is>
          <t>Laboratory</t>
        </is>
      </c>
      <c r="F5" s="11" t="inlineStr">
        <is>
          <t>Nutrition</t>
        </is>
      </c>
      <c r="G5" s="11" t="inlineStr">
        <is>
          <t>Equipment</t>
        </is>
      </c>
      <c r="H5" s="11" t="inlineStr">
        <is>
          <t>General Items</t>
        </is>
      </c>
      <c r="I5" s="11" t="inlineStr">
        <is>
          <t>Total</t>
        </is>
      </c>
    </row>
    <row r="6">
      <c r="A6" s="22" t="inlineStr">
        <is>
          <t>PRJ-001</t>
        </is>
      </c>
      <c r="B6" s="22" t="inlineStr">
        <is>
          <t>Maternal &amp; Child Health Programme - Korangi</t>
        </is>
      </c>
      <c r="C6" s="23" t="n">
        <v>20688447.6</v>
      </c>
      <c r="D6" s="23" t="n">
        <v>20850208.58</v>
      </c>
      <c r="E6" s="23" t="n">
        <v>3978781.98</v>
      </c>
      <c r="F6" s="23" t="n">
        <v>13104113.06</v>
      </c>
      <c r="G6" s="23" t="n">
        <v>1446.24</v>
      </c>
      <c r="H6" s="23" t="n">
        <v>1992279.75</v>
      </c>
      <c r="I6" s="23" t="n">
        <v>60615277.21</v>
      </c>
    </row>
    <row r="7">
      <c r="A7" s="22" t="inlineStr">
        <is>
          <t>PRJ-002</t>
        </is>
      </c>
      <c r="B7" s="22" t="inlineStr">
        <is>
          <t>Nutrition Stabilisation Centre - Malir</t>
        </is>
      </c>
      <c r="C7" s="23" t="n">
        <v>7808158.45</v>
      </c>
      <c r="D7" s="23" t="n">
        <v>7472246.54</v>
      </c>
      <c r="E7" s="23" t="n">
        <v>1829196.86</v>
      </c>
      <c r="F7" s="23" t="n">
        <v>27206657.68</v>
      </c>
      <c r="G7" s="23" t="n">
        <v>8228.610000000001</v>
      </c>
      <c r="H7" s="23" t="n">
        <v>1182741.93</v>
      </c>
      <c r="I7" s="23" t="n">
        <v>45507230.07</v>
      </c>
    </row>
    <row r="8">
      <c r="A8" s="22" t="inlineStr">
        <is>
          <t>PRJ-003</t>
        </is>
      </c>
      <c r="B8" s="22" t="inlineStr">
        <is>
          <t>TB DOTS Expansion - Karachi South</t>
        </is>
      </c>
      <c r="C8" s="23" t="n">
        <v>14056244.56</v>
      </c>
      <c r="D8" s="23" t="n">
        <v>7559531.27</v>
      </c>
      <c r="E8" s="23" t="n">
        <v>7335220.81</v>
      </c>
      <c r="F8" s="23" t="n">
        <v>2567765.86</v>
      </c>
      <c r="G8" s="23" t="n">
        <v>0</v>
      </c>
      <c r="H8" s="23" t="n">
        <v>1547253.61</v>
      </c>
      <c r="I8" s="23" t="n">
        <v>33066016.11</v>
      </c>
    </row>
    <row r="9">
      <c r="A9" s="22" t="inlineStr">
        <is>
          <t>PRJ-004</t>
        </is>
      </c>
      <c r="B9" s="22" t="inlineStr">
        <is>
          <t>Primary Healthcare Support - Tharparkar</t>
        </is>
      </c>
      <c r="C9" s="23" t="n">
        <v>9600961.609999999</v>
      </c>
      <c r="D9" s="23" t="n">
        <v>8092873.12</v>
      </c>
      <c r="E9" s="23" t="n">
        <v>1123106.58</v>
      </c>
      <c r="F9" s="23" t="n">
        <v>9986273.060000001</v>
      </c>
      <c r="G9" s="23" t="n">
        <v>1446.24</v>
      </c>
      <c r="H9" s="23" t="n">
        <v>1274803.73</v>
      </c>
      <c r="I9" s="23" t="n">
        <v>30079464.34</v>
      </c>
    </row>
    <row r="10">
      <c r="A10" s="22" t="inlineStr">
        <is>
          <t>PRJ-010</t>
        </is>
      </c>
      <c r="B10" s="22" t="inlineStr">
        <is>
          <t>Thalassaemia Support Programme - Gadap</t>
        </is>
      </c>
      <c r="C10" s="23" t="n">
        <v>12068465.79</v>
      </c>
      <c r="D10" s="23" t="n">
        <v>6061213.37</v>
      </c>
      <c r="E10" s="23" t="n">
        <v>3163829.13</v>
      </c>
      <c r="F10" s="23" t="n">
        <v>1798436.86</v>
      </c>
      <c r="G10" s="23" t="n">
        <v>12766.82</v>
      </c>
      <c r="H10" s="23" t="n">
        <v>972229.08</v>
      </c>
      <c r="I10" s="23" t="n">
        <v>24076941.05</v>
      </c>
    </row>
    <row r="11">
      <c r="A11" s="22" t="inlineStr">
        <is>
          <t>PRJ-008</t>
        </is>
      </c>
      <c r="B11" s="22" t="inlineStr">
        <is>
          <t>Emergency Obstetric Care - Lyari</t>
        </is>
      </c>
      <c r="C11" s="23" t="n">
        <v>6773568.36</v>
      </c>
      <c r="D11" s="23" t="n">
        <v>6914173.89</v>
      </c>
      <c r="E11" s="23" t="n">
        <v>788875.63</v>
      </c>
      <c r="F11" s="23" t="n">
        <v>1724168.16</v>
      </c>
      <c r="G11" s="23" t="n">
        <v>18452.05</v>
      </c>
      <c r="H11" s="23" t="n">
        <v>569338.6800000001</v>
      </c>
      <c r="I11" s="23" t="n">
        <v>16788576.77</v>
      </c>
    </row>
    <row r="12">
      <c r="A12" s="22" t="inlineStr">
        <is>
          <t>PRJ-006</t>
        </is>
      </c>
      <c r="B12" s="22" t="inlineStr">
        <is>
          <t>Rural Health Centre Strengthening - Jamshoro</t>
        </is>
      </c>
      <c r="C12" s="23" t="n">
        <v>5211698.1</v>
      </c>
      <c r="D12" s="23" t="n">
        <v>5127583</v>
      </c>
      <c r="E12" s="23" t="n">
        <v>689990.11</v>
      </c>
      <c r="F12" s="23" t="n">
        <v>3071490.08</v>
      </c>
      <c r="G12" s="23" t="n">
        <v>14462.42</v>
      </c>
      <c r="H12" s="23" t="n">
        <v>856100.02</v>
      </c>
      <c r="I12" s="23" t="n">
        <v>14971323.73</v>
      </c>
    </row>
    <row r="13">
      <c r="A13" s="22" t="inlineStr">
        <is>
          <t>PRJ-007</t>
        </is>
      </c>
      <c r="B13" s="22" t="inlineStr">
        <is>
          <t>Community Health Worker Programme - Bin Qasim</t>
        </is>
      </c>
      <c r="C13" s="23" t="n">
        <v>3749324.07</v>
      </c>
      <c r="D13" s="23" t="n">
        <v>3382204.7</v>
      </c>
      <c r="E13" s="23" t="n">
        <v>374070.84</v>
      </c>
      <c r="F13" s="23" t="n">
        <v>4271653.14</v>
      </c>
      <c r="G13" s="23" t="n">
        <v>0</v>
      </c>
      <c r="H13" s="23" t="n">
        <v>1330351.04</v>
      </c>
      <c r="I13" s="23" t="n">
        <v>13107603.79</v>
      </c>
    </row>
    <row r="14">
      <c r="A14" s="22" t="inlineStr">
        <is>
          <t>PRJ-005</t>
        </is>
      </c>
      <c r="B14" s="22" t="inlineStr">
        <is>
          <t>Flood Response &amp; Health Recovery - Dadu</t>
        </is>
      </c>
      <c r="C14" s="23" t="n">
        <v>5195639.51</v>
      </c>
      <c r="D14" s="23" t="n">
        <v>2879295.48</v>
      </c>
      <c r="E14" s="23" t="n">
        <v>340886.67</v>
      </c>
      <c r="F14" s="23" t="n">
        <v>3280843.18</v>
      </c>
      <c r="G14" s="23" t="n">
        <v>0</v>
      </c>
      <c r="H14" s="23" t="n">
        <v>931070.39</v>
      </c>
      <c r="I14" s="23" t="n">
        <v>12627735.23</v>
      </c>
    </row>
    <row r="15">
      <c r="A15" s="22" t="inlineStr">
        <is>
          <t>GEN-0000</t>
        </is>
      </c>
      <c r="B15" s="22" t="inlineStr">
        <is>
          <t>Unattributed</t>
        </is>
      </c>
      <c r="C15" s="23" t="n">
        <v>2417746.72</v>
      </c>
      <c r="D15" s="23" t="n">
        <v>1471980.94</v>
      </c>
      <c r="E15" s="23" t="n">
        <v>518739.69</v>
      </c>
      <c r="F15" s="23" t="n">
        <v>1685271.6</v>
      </c>
      <c r="G15" s="23" t="n">
        <v>1446.24</v>
      </c>
      <c r="H15" s="23" t="n">
        <v>176055.76</v>
      </c>
      <c r="I15" s="23" t="n">
        <v>6271240.95</v>
      </c>
    </row>
    <row r="16">
      <c r="A16" s="22" t="inlineStr">
        <is>
          <t>PRJ-009</t>
        </is>
      </c>
      <c r="B16" s="22" t="inlineStr">
        <is>
          <t>Hepatitis B &amp; C Screening - Keamari</t>
        </is>
      </c>
      <c r="C16" s="23" t="n">
        <v>1359516.16</v>
      </c>
      <c r="D16" s="23" t="n">
        <v>867660.34</v>
      </c>
      <c r="E16" s="23" t="n">
        <v>1284488.84</v>
      </c>
      <c r="F16" s="23" t="n">
        <v>673227.7</v>
      </c>
      <c r="G16" s="23" t="n">
        <v>33911.87</v>
      </c>
      <c r="H16" s="23" t="n">
        <v>245731.94</v>
      </c>
      <c r="I16" s="23" t="n">
        <v>4464536.85</v>
      </c>
    </row>
    <row r="17">
      <c r="A17" s="26" t="inlineStr"/>
      <c r="B17" s="26" t="inlineStr">
        <is>
          <t>TOTAL</t>
        </is>
      </c>
      <c r="C17" s="27" t="n">
        <v>88929770.93000001</v>
      </c>
      <c r="D17" s="27" t="n">
        <v>70678971.23</v>
      </c>
      <c r="E17" s="27" t="n">
        <v>21427187.14</v>
      </c>
      <c r="F17" s="27" t="n">
        <v>69369900.38</v>
      </c>
      <c r="G17" s="27" t="n">
        <v>92160.49000000001</v>
      </c>
      <c r="H17" s="27" t="n">
        <v>11077955.93</v>
      </c>
      <c r="I17" s="27" t="n">
        <v>261575946.1</v>
      </c>
    </row>
  </sheetData>
  <mergeCells count="1"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A7F8F"/>
    <outlinePr summaryBelow="1" summaryRight="1"/>
    <pageSetUpPr/>
  </sheetPr>
  <dimension ref="A1:L89"/>
  <sheetViews>
    <sheetView showGridLines="0" zoomScale="90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20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Product-wise Consumption and Investment</t>
        </is>
      </c>
    </row>
    <row r="2">
      <c r="A2" s="2" t="inlineStr">
        <is>
          <t>Ranked by consumption value. Share and cumulative share support Pareto analysis. Ratio compares consumption with purchase for the same item.</t>
        </is>
      </c>
    </row>
    <row r="3" ht="6" customHeight="1"/>
    <row r="5" ht="30" customHeight="1">
      <c r="A5" s="11" t="inlineStr">
        <is>
          <t>Item ID</t>
        </is>
      </c>
      <c r="B5" s="11" t="inlineStr">
        <is>
          <t>Item description</t>
        </is>
      </c>
      <c r="C5" s="11" t="inlineStr">
        <is>
          <t>Category</t>
        </is>
      </c>
      <c r="D5" s="11" t="inlineStr">
        <is>
          <t>UOM</t>
        </is>
      </c>
      <c r="E5" s="11" t="inlineStr">
        <is>
          <t>Qty consumed</t>
        </is>
      </c>
      <c r="F5" s="11" t="inlineStr">
        <is>
          <t>Consumption value</t>
        </is>
      </c>
      <c r="G5" s="11" t="inlineStr">
        <is>
          <t>Investment (PO)</t>
        </is>
      </c>
      <c r="H5" s="11" t="inlineStr">
        <is>
          <t>Ratio</t>
        </is>
      </c>
      <c r="I5" s="11" t="inlineStr">
        <is>
          <t>Share</t>
        </is>
      </c>
      <c r="J5" s="11" t="inlineStr">
        <is>
          <t>Cum share</t>
        </is>
      </c>
      <c r="K5" s="11" t="inlineStr">
        <is>
          <t>Avg unit price</t>
        </is>
      </c>
      <c r="L5" s="11" t="inlineStr">
        <is>
          <t>Projects</t>
        </is>
      </c>
    </row>
    <row r="6">
      <c r="A6" s="22" t="inlineStr">
        <is>
          <t>NUT-0001</t>
        </is>
      </c>
      <c r="B6" s="22" t="inlineStr">
        <is>
          <t>RUTF Plumpy'Nut 92 g Sachet</t>
        </is>
      </c>
      <c r="C6" s="22" t="inlineStr">
        <is>
          <t>Nutrition</t>
        </is>
      </c>
      <c r="D6" s="22" t="inlineStr">
        <is>
          <t>Sachet</t>
        </is>
      </c>
      <c r="E6" s="23" t="n">
        <v>93150</v>
      </c>
      <c r="F6" s="23" t="n">
        <v>22267666.5</v>
      </c>
      <c r="G6" s="23" t="n">
        <v>25652856</v>
      </c>
      <c r="H6" s="24" t="n">
        <v>0.87</v>
      </c>
      <c r="I6" s="31" t="n">
        <v>0.0851</v>
      </c>
      <c r="J6" s="31" t="n">
        <v>0.0851</v>
      </c>
      <c r="K6" s="25" t="n">
        <v>239.05</v>
      </c>
      <c r="L6" s="23" t="n">
        <v>11</v>
      </c>
    </row>
    <row r="7">
      <c r="A7" s="22" t="inlineStr">
        <is>
          <t>MED-0031</t>
        </is>
      </c>
      <c r="B7" s="22" t="inlineStr">
        <is>
          <t>Deferasirox 500 mg Tablet</t>
        </is>
      </c>
      <c r="C7" s="22" t="inlineStr">
        <is>
          <t>Medicines</t>
        </is>
      </c>
      <c r="D7" s="22" t="inlineStr">
        <is>
          <t>Tablet</t>
        </is>
      </c>
      <c r="E7" s="23" t="n">
        <v>12450</v>
      </c>
      <c r="F7" s="23" t="n">
        <v>19662066</v>
      </c>
      <c r="G7" s="23" t="n">
        <v>22152937.5</v>
      </c>
      <c r="H7" s="24" t="n">
        <v>0.89</v>
      </c>
      <c r="I7" s="31" t="n">
        <v>0.0752</v>
      </c>
      <c r="J7" s="31" t="n">
        <v>0.1603</v>
      </c>
      <c r="K7" s="25" t="n">
        <v>1579.28</v>
      </c>
      <c r="L7" s="23" t="n">
        <v>11</v>
      </c>
    </row>
    <row r="8">
      <c r="A8" s="22" t="inlineStr">
        <is>
          <t>MED-0007</t>
        </is>
      </c>
      <c r="B8" s="22" t="inlineStr">
        <is>
          <t>ORS Sachet (Low Osmolarity)</t>
        </is>
      </c>
      <c r="C8" s="22" t="inlineStr">
        <is>
          <t>Medicines</t>
        </is>
      </c>
      <c r="D8" s="22" t="inlineStr">
        <is>
          <t>Sachet</t>
        </is>
      </c>
      <c r="E8" s="23" t="n">
        <v>510000</v>
      </c>
      <c r="F8" s="23" t="n">
        <v>12568695</v>
      </c>
      <c r="G8" s="23" t="n">
        <v>14382762</v>
      </c>
      <c r="H8" s="24" t="n">
        <v>0.87</v>
      </c>
      <c r="I8" s="31" t="n">
        <v>0.048</v>
      </c>
      <c r="J8" s="31" t="n">
        <v>0.2083</v>
      </c>
      <c r="K8" s="25" t="n">
        <v>24.64</v>
      </c>
      <c r="L8" s="23" t="n">
        <v>11</v>
      </c>
    </row>
    <row r="9">
      <c r="A9" s="22" t="inlineStr">
        <is>
          <t>NUT-0003</t>
        </is>
      </c>
      <c r="B9" s="22" t="inlineStr">
        <is>
          <t>F-100 Therapeutic Milk 400 g</t>
        </is>
      </c>
      <c r="C9" s="22" t="inlineStr">
        <is>
          <t>Nutrition</t>
        </is>
      </c>
      <c r="D9" s="22" t="inlineStr">
        <is>
          <t>Tin</t>
        </is>
      </c>
      <c r="E9" s="23" t="n">
        <v>13704</v>
      </c>
      <c r="F9" s="23" t="n">
        <v>11487280.08</v>
      </c>
      <c r="G9" s="23" t="n">
        <v>12263852.4</v>
      </c>
      <c r="H9" s="24" t="n">
        <v>0.9399999999999999</v>
      </c>
      <c r="I9" s="31" t="n">
        <v>0.0439</v>
      </c>
      <c r="J9" s="31" t="n">
        <v>0.2523</v>
      </c>
      <c r="K9" s="25" t="n">
        <v>838.24</v>
      </c>
      <c r="L9" s="23" t="n">
        <v>11</v>
      </c>
    </row>
    <row r="10">
      <c r="A10" s="22" t="inlineStr">
        <is>
          <t>CON-0003</t>
        </is>
      </c>
      <c r="B10" s="22" t="inlineStr">
        <is>
          <t>Disposable Syringe 5 ml with Needle</t>
        </is>
      </c>
      <c r="C10" s="22" t="inlineStr">
        <is>
          <t>Medical Consumables</t>
        </is>
      </c>
      <c r="D10" s="22" t="inlineStr">
        <is>
          <t>Piece</t>
        </is>
      </c>
      <c r="E10" s="23" t="n">
        <v>428900</v>
      </c>
      <c r="F10" s="23" t="n">
        <v>10055351</v>
      </c>
      <c r="G10" s="23" t="n">
        <v>12498775</v>
      </c>
      <c r="H10" s="24" t="n">
        <v>0.8</v>
      </c>
      <c r="I10" s="31" t="n">
        <v>0.0384</v>
      </c>
      <c r="J10" s="31" t="n">
        <v>0.2907</v>
      </c>
      <c r="K10" s="25" t="n">
        <v>23.44</v>
      </c>
      <c r="L10" s="23" t="n">
        <v>11</v>
      </c>
    </row>
    <row r="11">
      <c r="A11" s="22" t="inlineStr">
        <is>
          <t>NUT-0002</t>
        </is>
      </c>
      <c r="B11" s="22" t="inlineStr">
        <is>
          <t>F-75 Therapeutic Milk 400 g</t>
        </is>
      </c>
      <c r="C11" s="22" t="inlineStr">
        <is>
          <t>Nutrition</t>
        </is>
      </c>
      <c r="D11" s="22" t="inlineStr">
        <is>
          <t>Tin</t>
        </is>
      </c>
      <c r="E11" s="23" t="n">
        <v>12696</v>
      </c>
      <c r="F11" s="23" t="n">
        <v>9512255.52</v>
      </c>
      <c r="G11" s="23" t="n">
        <v>11362006.32</v>
      </c>
      <c r="H11" s="24" t="n">
        <v>0.84</v>
      </c>
      <c r="I11" s="31" t="n">
        <v>0.0364</v>
      </c>
      <c r="J11" s="31" t="n">
        <v>0.3271</v>
      </c>
      <c r="K11" s="25" t="n">
        <v>749.23</v>
      </c>
      <c r="L11" s="23" t="n">
        <v>11</v>
      </c>
    </row>
    <row r="12">
      <c r="A12" s="22" t="inlineStr">
        <is>
          <t>CON-0001</t>
        </is>
      </c>
      <c r="B12" s="22" t="inlineStr">
        <is>
          <t>Examination Gloves, Latex (Pair)</t>
        </is>
      </c>
      <c r="C12" s="22" t="inlineStr">
        <is>
          <t>Medical Consumables</t>
        </is>
      </c>
      <c r="D12" s="22" t="inlineStr">
        <is>
          <t>Pair</t>
        </is>
      </c>
      <c r="E12" s="23" t="n">
        <v>581200</v>
      </c>
      <c r="F12" s="23" t="n">
        <v>9234474</v>
      </c>
      <c r="G12" s="23" t="n">
        <v>10013149</v>
      </c>
      <c r="H12" s="24" t="n">
        <v>0.92</v>
      </c>
      <c r="I12" s="31" t="n">
        <v>0.0353</v>
      </c>
      <c r="J12" s="31" t="n">
        <v>0.3624</v>
      </c>
      <c r="K12" s="25" t="n">
        <v>15.89</v>
      </c>
      <c r="L12" s="23" t="n">
        <v>11</v>
      </c>
    </row>
    <row r="13">
      <c r="A13" s="22" t="inlineStr">
        <is>
          <t>NUT-0004</t>
        </is>
      </c>
      <c r="B13" s="22" t="inlineStr">
        <is>
          <t>Ready-to-Use Supplementary Food (RUSF)</t>
        </is>
      </c>
      <c r="C13" s="22" t="inlineStr">
        <is>
          <t>Nutrition</t>
        </is>
      </c>
      <c r="D13" s="22" t="inlineStr">
        <is>
          <t>Sachet</t>
        </is>
      </c>
      <c r="E13" s="23" t="n">
        <v>54750</v>
      </c>
      <c r="F13" s="23" t="n">
        <v>8630998.5</v>
      </c>
      <c r="G13" s="23" t="n">
        <v>9561354</v>
      </c>
      <c r="H13" s="24" t="n">
        <v>0.9</v>
      </c>
      <c r="I13" s="31" t="n">
        <v>0.033</v>
      </c>
      <c r="J13" s="31" t="n">
        <v>0.3954</v>
      </c>
      <c r="K13" s="25" t="n">
        <v>157.64</v>
      </c>
      <c r="L13" s="23" t="n">
        <v>11</v>
      </c>
    </row>
    <row r="14">
      <c r="A14" s="22" t="inlineStr">
        <is>
          <t>CON-0015</t>
        </is>
      </c>
      <c r="B14" s="22" t="inlineStr">
        <is>
          <t>Disposable Delivery Kit</t>
        </is>
      </c>
      <c r="C14" s="22" t="inlineStr">
        <is>
          <t>Medical Consumables</t>
        </is>
      </c>
      <c r="D14" s="22" t="inlineStr">
        <is>
          <t>Kit</t>
        </is>
      </c>
      <c r="E14" s="23" t="n">
        <v>11658</v>
      </c>
      <c r="F14" s="23" t="n">
        <v>8135236.51</v>
      </c>
      <c r="G14" s="23" t="n">
        <v>9779906.84</v>
      </c>
      <c r="H14" s="24" t="n">
        <v>0.83</v>
      </c>
      <c r="I14" s="31" t="n">
        <v>0.0311</v>
      </c>
      <c r="J14" s="31" t="n">
        <v>0.4265</v>
      </c>
      <c r="K14" s="25" t="n">
        <v>697.8200000000001</v>
      </c>
      <c r="L14" s="23" t="n">
        <v>11</v>
      </c>
    </row>
    <row r="15">
      <c r="A15" s="22" t="inlineStr">
        <is>
          <t>NUT-0005</t>
        </is>
      </c>
      <c r="B15" s="22" t="inlineStr">
        <is>
          <t>Multiple Micronutrient Powder</t>
        </is>
      </c>
      <c r="C15" s="22" t="inlineStr">
        <is>
          <t>Nutrition</t>
        </is>
      </c>
      <c r="D15" s="22" t="inlineStr">
        <is>
          <t>Sachet</t>
        </is>
      </c>
      <c r="E15" s="23" t="n">
        <v>124830</v>
      </c>
      <c r="F15" s="23" t="n">
        <v>7906604.1</v>
      </c>
      <c r="G15" s="23" t="n">
        <v>9568417.199999999</v>
      </c>
      <c r="H15" s="24" t="n">
        <v>0.83</v>
      </c>
      <c r="I15" s="31" t="n">
        <v>0.0302</v>
      </c>
      <c r="J15" s="31" t="n">
        <v>0.4567</v>
      </c>
      <c r="K15" s="25" t="n">
        <v>63.34</v>
      </c>
      <c r="L15" s="23" t="n">
        <v>11</v>
      </c>
    </row>
    <row r="16">
      <c r="A16" s="22" t="inlineStr">
        <is>
          <t>MED-0034</t>
        </is>
      </c>
      <c r="B16" s="22" t="inlineStr">
        <is>
          <t>Tenofovir + Emtricitabine 300/200 mg</t>
        </is>
      </c>
      <c r="C16" s="22" t="inlineStr">
        <is>
          <t>Medicines</t>
        </is>
      </c>
      <c r="D16" s="22" t="inlineStr">
        <is>
          <t>Tablet</t>
        </is>
      </c>
      <c r="E16" s="23" t="n">
        <v>7290</v>
      </c>
      <c r="F16" s="23" t="n">
        <v>7054164.3</v>
      </c>
      <c r="G16" s="23" t="n">
        <v>7744513.8</v>
      </c>
      <c r="H16" s="24" t="n">
        <v>0.91</v>
      </c>
      <c r="I16" s="31" t="n">
        <v>0.027</v>
      </c>
      <c r="J16" s="31" t="n">
        <v>0.4837</v>
      </c>
      <c r="K16" s="25" t="n">
        <v>967.65</v>
      </c>
      <c r="L16" s="23" t="n">
        <v>11</v>
      </c>
    </row>
    <row r="17">
      <c r="A17" s="22" t="inlineStr">
        <is>
          <t>CON-0004</t>
        </is>
      </c>
      <c r="B17" s="22" t="inlineStr">
        <is>
          <t>Disposable Syringe 10 ml with Needle</t>
        </is>
      </c>
      <c r="C17" s="22" t="inlineStr">
        <is>
          <t>Medical Consumables</t>
        </is>
      </c>
      <c r="D17" s="22" t="inlineStr">
        <is>
          <t>Piece</t>
        </is>
      </c>
      <c r="E17" s="23" t="n">
        <v>209900</v>
      </c>
      <c r="F17" s="23" t="n">
        <v>6150052</v>
      </c>
      <c r="G17" s="23" t="n">
        <v>7687624</v>
      </c>
      <c r="H17" s="24" t="n">
        <v>0.8</v>
      </c>
      <c r="I17" s="31" t="n">
        <v>0.0235</v>
      </c>
      <c r="J17" s="31" t="n">
        <v>0.5072</v>
      </c>
      <c r="K17" s="25" t="n">
        <v>29.3</v>
      </c>
      <c r="L17" s="23" t="n">
        <v>11</v>
      </c>
    </row>
    <row r="18">
      <c r="A18" s="22" t="inlineStr">
        <is>
          <t>LAB-0002</t>
        </is>
      </c>
      <c r="B18" s="22" t="inlineStr">
        <is>
          <t>Rapid Diagnostic Test - Malaria</t>
        </is>
      </c>
      <c r="C18" s="22" t="inlineStr">
        <is>
          <t>Laboratory</t>
        </is>
      </c>
      <c r="D18" s="22" t="inlineStr">
        <is>
          <t>Test</t>
        </is>
      </c>
      <c r="E18" s="23" t="n">
        <v>33775</v>
      </c>
      <c r="F18" s="23" t="n">
        <v>5452081.75</v>
      </c>
      <c r="G18" s="23" t="n">
        <v>6071976.5</v>
      </c>
      <c r="H18" s="24" t="n">
        <v>0.9</v>
      </c>
      <c r="I18" s="31" t="n">
        <v>0.0208</v>
      </c>
      <c r="J18" s="31" t="n">
        <v>0.528</v>
      </c>
      <c r="K18" s="25" t="n">
        <v>161.42</v>
      </c>
      <c r="L18" s="23" t="n">
        <v>11</v>
      </c>
    </row>
    <row r="19">
      <c r="A19" s="22" t="inlineStr">
        <is>
          <t>MED-0030</t>
        </is>
      </c>
      <c r="B19" s="22" t="inlineStr">
        <is>
          <t>Insulin Regular 100 IU/ml</t>
        </is>
      </c>
      <c r="C19" s="22" t="inlineStr">
        <is>
          <t>Medicines</t>
        </is>
      </c>
      <c r="D19" s="22" t="inlineStr">
        <is>
          <t>Vial</t>
        </is>
      </c>
      <c r="E19" s="23" t="n">
        <v>9243</v>
      </c>
      <c r="F19" s="23" t="n">
        <v>5382938.38</v>
      </c>
      <c r="G19" s="23" t="n">
        <v>6238548.28</v>
      </c>
      <c r="H19" s="24" t="n">
        <v>0.86</v>
      </c>
      <c r="I19" s="31" t="n">
        <v>0.0206</v>
      </c>
      <c r="J19" s="31" t="n">
        <v>0.5486</v>
      </c>
      <c r="K19" s="25" t="n">
        <v>582.38</v>
      </c>
      <c r="L19" s="23" t="n">
        <v>11</v>
      </c>
    </row>
    <row r="20">
      <c r="A20" s="22" t="inlineStr">
        <is>
          <t>CON-0008</t>
        </is>
      </c>
      <c r="B20" s="22" t="inlineStr">
        <is>
          <t>Gauze Piece Sterile 10x10 cm</t>
        </is>
      </c>
      <c r="C20" s="22" t="inlineStr">
        <is>
          <t>Medical Consumables</t>
        </is>
      </c>
      <c r="D20" s="22" t="inlineStr">
        <is>
          <t>Piece</t>
        </is>
      </c>
      <c r="E20" s="23" t="n">
        <v>484200</v>
      </c>
      <c r="F20" s="23" t="n">
        <v>5166956</v>
      </c>
      <c r="G20" s="23" t="n">
        <v>5948175</v>
      </c>
      <c r="H20" s="24" t="n">
        <v>0.87</v>
      </c>
      <c r="I20" s="31" t="n">
        <v>0.0198</v>
      </c>
      <c r="J20" s="31" t="n">
        <v>0.5684</v>
      </c>
      <c r="K20" s="25" t="n">
        <v>10.67</v>
      </c>
      <c r="L20" s="23" t="n">
        <v>11</v>
      </c>
    </row>
    <row r="21">
      <c r="A21" s="22" t="inlineStr">
        <is>
          <t>NUT-0007</t>
        </is>
      </c>
      <c r="B21" s="22" t="inlineStr">
        <is>
          <t>Infant Formula, Therapeutic (Lactogen-free)</t>
        </is>
      </c>
      <c r="C21" s="22" t="inlineStr">
        <is>
          <t>Nutrition</t>
        </is>
      </c>
      <c r="D21" s="22" t="inlineStr">
        <is>
          <t>Tin</t>
        </is>
      </c>
      <c r="E21" s="23" t="n">
        <v>3720</v>
      </c>
      <c r="F21" s="23" t="n">
        <v>5058172.08</v>
      </c>
      <c r="G21" s="23" t="n">
        <v>5507598.96</v>
      </c>
      <c r="H21" s="24" t="n">
        <v>0.92</v>
      </c>
      <c r="I21" s="31" t="n">
        <v>0.0193</v>
      </c>
      <c r="J21" s="31" t="n">
        <v>0.5877</v>
      </c>
      <c r="K21" s="25" t="n">
        <v>1359.72</v>
      </c>
      <c r="L21" s="23" t="n">
        <v>11</v>
      </c>
    </row>
    <row r="22">
      <c r="A22" s="22" t="inlineStr">
        <is>
          <t>NUT-0006</t>
        </is>
      </c>
      <c r="B22" s="22" t="inlineStr">
        <is>
          <t>Therapeutic Zinc + ORS Combo Pack</t>
        </is>
      </c>
      <c r="C22" s="22" t="inlineStr">
        <is>
          <t>Nutrition</t>
        </is>
      </c>
      <c r="D22" s="22" t="inlineStr">
        <is>
          <t>Kit</t>
        </is>
      </c>
      <c r="E22" s="23" t="n">
        <v>43180</v>
      </c>
      <c r="F22" s="23" t="n">
        <v>4506923.6</v>
      </c>
      <c r="G22" s="23" t="n">
        <v>5352146</v>
      </c>
      <c r="H22" s="24" t="n">
        <v>0.84</v>
      </c>
      <c r="I22" s="31" t="n">
        <v>0.0172</v>
      </c>
      <c r="J22" s="31" t="n">
        <v>0.6049</v>
      </c>
      <c r="K22" s="25" t="n">
        <v>104.38</v>
      </c>
      <c r="L22" s="23" t="n">
        <v>11</v>
      </c>
    </row>
    <row r="23">
      <c r="A23" s="22" t="inlineStr">
        <is>
          <t>MED-0010</t>
        </is>
      </c>
      <c r="B23" s="22" t="inlineStr">
        <is>
          <t>Ringer's Lactate 500 ml</t>
        </is>
      </c>
      <c r="C23" s="22" t="inlineStr">
        <is>
          <t>Medicines</t>
        </is>
      </c>
      <c r="D23" s="22" t="inlineStr">
        <is>
          <t>Bottle</t>
        </is>
      </c>
      <c r="E23" s="23" t="n">
        <v>31000</v>
      </c>
      <c r="F23" s="23" t="n">
        <v>4427286.6</v>
      </c>
      <c r="G23" s="23" t="n">
        <v>5281353</v>
      </c>
      <c r="H23" s="24" t="n">
        <v>0.84</v>
      </c>
      <c r="I23" s="31" t="n">
        <v>0.0169</v>
      </c>
      <c r="J23" s="31" t="n">
        <v>0.6218</v>
      </c>
      <c r="K23" s="25" t="n">
        <v>142.82</v>
      </c>
      <c r="L23" s="23" t="n">
        <v>11</v>
      </c>
    </row>
    <row r="24">
      <c r="A24" s="22" t="inlineStr">
        <is>
          <t>MED-0009</t>
        </is>
      </c>
      <c r="B24" s="22" t="inlineStr">
        <is>
          <t>Normal Saline 0.9% 500 ml</t>
        </is>
      </c>
      <c r="C24" s="22" t="inlineStr">
        <is>
          <t>Medicines</t>
        </is>
      </c>
      <c r="D24" s="22" t="inlineStr">
        <is>
          <t>Bottle</t>
        </is>
      </c>
      <c r="E24" s="23" t="n">
        <v>34500</v>
      </c>
      <c r="F24" s="23" t="n">
        <v>4392369</v>
      </c>
      <c r="G24" s="23" t="n">
        <v>5553984.6</v>
      </c>
      <c r="H24" s="24" t="n">
        <v>0.79</v>
      </c>
      <c r="I24" s="31" t="n">
        <v>0.0168</v>
      </c>
      <c r="J24" s="31" t="n">
        <v>0.6385999999999999</v>
      </c>
      <c r="K24" s="25" t="n">
        <v>127.32</v>
      </c>
      <c r="L24" s="23" t="n">
        <v>11</v>
      </c>
    </row>
    <row r="25">
      <c r="A25" s="22" t="inlineStr">
        <is>
          <t>MED-0025</t>
        </is>
      </c>
      <c r="B25" s="22" t="inlineStr">
        <is>
          <t>Salbutamol Inhaler 100 mcg</t>
        </is>
      </c>
      <c r="C25" s="22" t="inlineStr">
        <is>
          <t>Medicines</t>
        </is>
      </c>
      <c r="D25" s="22" t="inlineStr">
        <is>
          <t>Inhaler</t>
        </is>
      </c>
      <c r="E25" s="23" t="n">
        <v>13920</v>
      </c>
      <c r="F25" s="23" t="n">
        <v>4089032.13</v>
      </c>
      <c r="G25" s="23" t="n">
        <v>4755878.87</v>
      </c>
      <c r="H25" s="24" t="n">
        <v>0.86</v>
      </c>
      <c r="I25" s="31" t="n">
        <v>0.0156</v>
      </c>
      <c r="J25" s="31" t="n">
        <v>0.6543</v>
      </c>
      <c r="K25" s="25" t="n">
        <v>293.75</v>
      </c>
      <c r="L25" s="23" t="n">
        <v>11</v>
      </c>
    </row>
    <row r="26">
      <c r="A26" s="22" t="inlineStr">
        <is>
          <t>MED-0004</t>
        </is>
      </c>
      <c r="B26" s="22" t="inlineStr">
        <is>
          <t>Ceftriaxone 1 g Injection</t>
        </is>
      </c>
      <c r="C26" s="22" t="inlineStr">
        <is>
          <t>Medicines</t>
        </is>
      </c>
      <c r="D26" s="22" t="inlineStr">
        <is>
          <t>Vial</t>
        </is>
      </c>
      <c r="E26" s="23" t="n">
        <v>39324</v>
      </c>
      <c r="F26" s="23" t="n">
        <v>4081900.03</v>
      </c>
      <c r="G26" s="23" t="n">
        <v>5048633</v>
      </c>
      <c r="H26" s="24" t="n">
        <v>0.8100000000000001</v>
      </c>
      <c r="I26" s="31" t="n">
        <v>0.0156</v>
      </c>
      <c r="J26" s="31" t="n">
        <v>0.6699000000000001</v>
      </c>
      <c r="K26" s="25" t="n">
        <v>103.8</v>
      </c>
      <c r="L26" s="23" t="n">
        <v>11</v>
      </c>
    </row>
    <row r="27">
      <c r="A27" s="22" t="inlineStr">
        <is>
          <t>CON-0019</t>
        </is>
      </c>
      <c r="B27" s="22" t="inlineStr">
        <is>
          <t>Hand Sanitiser 500 ml</t>
        </is>
      </c>
      <c r="C27" s="22" t="inlineStr">
        <is>
          <t>Medical Consumables</t>
        </is>
      </c>
      <c r="D27" s="22" t="inlineStr">
        <is>
          <t>Bottle</t>
        </is>
      </c>
      <c r="E27" s="23" t="n">
        <v>9288</v>
      </c>
      <c r="F27" s="23" t="n">
        <v>3927127.56</v>
      </c>
      <c r="G27" s="23" t="n">
        <v>4276375.2</v>
      </c>
      <c r="H27" s="24" t="n">
        <v>0.92</v>
      </c>
      <c r="I27" s="31" t="n">
        <v>0.015</v>
      </c>
      <c r="J27" s="31" t="n">
        <v>0.6849</v>
      </c>
      <c r="K27" s="25" t="n">
        <v>422.82</v>
      </c>
      <c r="L27" s="23" t="n">
        <v>11</v>
      </c>
    </row>
    <row r="28">
      <c r="A28" s="22" t="inlineStr">
        <is>
          <t>LAB-0003</t>
        </is>
      </c>
      <c r="B28" s="22" t="inlineStr">
        <is>
          <t>Rapid Diagnostic Test - Hepatitis B</t>
        </is>
      </c>
      <c r="C28" s="22" t="inlineStr">
        <is>
          <t>Laboratory</t>
        </is>
      </c>
      <c r="D28" s="22" t="inlineStr">
        <is>
          <t>Test</t>
        </is>
      </c>
      <c r="E28" s="23" t="n">
        <v>20750</v>
      </c>
      <c r="F28" s="23" t="n">
        <v>3875992.75</v>
      </c>
      <c r="G28" s="23" t="n">
        <v>4313961</v>
      </c>
      <c r="H28" s="24" t="n">
        <v>0.9</v>
      </c>
      <c r="I28" s="31" t="n">
        <v>0.0148</v>
      </c>
      <c r="J28" s="31" t="n">
        <v>0.6997</v>
      </c>
      <c r="K28" s="25" t="n">
        <v>186.79</v>
      </c>
      <c r="L28" s="23" t="n">
        <v>11</v>
      </c>
    </row>
    <row r="29">
      <c r="A29" s="22" t="inlineStr">
        <is>
          <t>LAB-0001</t>
        </is>
      </c>
      <c r="B29" s="22" t="inlineStr">
        <is>
          <t>Hemoglobin Reagent (Cyanmethemoglobin)</t>
        </is>
      </c>
      <c r="C29" s="22" t="inlineStr">
        <is>
          <t>Laboratory</t>
        </is>
      </c>
      <c r="D29" s="22" t="inlineStr">
        <is>
          <t>Bottle</t>
        </is>
      </c>
      <c r="E29" s="23" t="n">
        <v>737</v>
      </c>
      <c r="F29" s="23" t="n">
        <v>3849692.09</v>
      </c>
      <c r="G29" s="23" t="n">
        <v>4298761.88</v>
      </c>
      <c r="H29" s="24" t="n">
        <v>0.9</v>
      </c>
      <c r="I29" s="31" t="n">
        <v>0.0147</v>
      </c>
      <c r="J29" s="31" t="n">
        <v>0.7144</v>
      </c>
      <c r="K29" s="25" t="n">
        <v>5223.46</v>
      </c>
      <c r="L29" s="23" t="n">
        <v>11</v>
      </c>
    </row>
    <row r="30">
      <c r="A30" s="22" t="inlineStr">
        <is>
          <t>CON-0002</t>
        </is>
      </c>
      <c r="B30" s="22" t="inlineStr">
        <is>
          <t>Surgical Gloves, Sterile 7.5 (Pair)</t>
        </is>
      </c>
      <c r="C30" s="22" t="inlineStr">
        <is>
          <t>Medical Consumables</t>
        </is>
      </c>
      <c r="D30" s="22" t="inlineStr">
        <is>
          <t>Pair</t>
        </is>
      </c>
      <c r="E30" s="23" t="n">
        <v>56050</v>
      </c>
      <c r="F30" s="23" t="n">
        <v>3745784.5</v>
      </c>
      <c r="G30" s="23" t="n">
        <v>4252580</v>
      </c>
      <c r="H30" s="24" t="n">
        <v>0.88</v>
      </c>
      <c r="I30" s="31" t="n">
        <v>0.0143</v>
      </c>
      <c r="J30" s="31" t="n">
        <v>0.7287</v>
      </c>
      <c r="K30" s="25" t="n">
        <v>66.83</v>
      </c>
      <c r="L30" s="23" t="n">
        <v>11</v>
      </c>
    </row>
    <row r="31">
      <c r="A31" s="22" t="inlineStr">
        <is>
          <t>LAB-0004</t>
        </is>
      </c>
      <c r="B31" s="22" t="inlineStr">
        <is>
          <t>Rapid Diagnostic Test - Hepatitis C</t>
        </is>
      </c>
      <c r="C31" s="22" t="inlineStr">
        <is>
          <t>Laboratory</t>
        </is>
      </c>
      <c r="D31" s="22" t="inlineStr">
        <is>
          <t>Test</t>
        </is>
      </c>
      <c r="E31" s="23" t="n">
        <v>17625</v>
      </c>
      <c r="F31" s="23" t="n">
        <v>3582011</v>
      </c>
      <c r="G31" s="23" t="n">
        <v>4150228.5</v>
      </c>
      <c r="H31" s="24" t="n">
        <v>0.86</v>
      </c>
      <c r="I31" s="31" t="n">
        <v>0.0137</v>
      </c>
      <c r="J31" s="31" t="n">
        <v>0.7423999999999999</v>
      </c>
      <c r="K31" s="25" t="n">
        <v>203.23</v>
      </c>
      <c r="L31" s="23" t="n">
        <v>11</v>
      </c>
    </row>
    <row r="32">
      <c r="A32" s="22" t="inlineStr">
        <is>
          <t>MED-0012</t>
        </is>
      </c>
      <c r="B32" s="22" t="inlineStr">
        <is>
          <t>Tetanus Toxoid Vaccine 0.5 ml</t>
        </is>
      </c>
      <c r="C32" s="22" t="inlineStr">
        <is>
          <t>Medicines</t>
        </is>
      </c>
      <c r="D32" s="22" t="inlineStr">
        <is>
          <t>Dose</t>
        </is>
      </c>
      <c r="E32" s="23" t="n">
        <v>30410</v>
      </c>
      <c r="F32" s="23" t="n">
        <v>3157367.7</v>
      </c>
      <c r="G32" s="23" t="n">
        <v>3887443.2</v>
      </c>
      <c r="H32" s="24" t="n">
        <v>0.8100000000000001</v>
      </c>
      <c r="I32" s="31" t="n">
        <v>0.0121</v>
      </c>
      <c r="J32" s="31" t="n">
        <v>0.7544999999999999</v>
      </c>
      <c r="K32" s="25" t="n">
        <v>103.83</v>
      </c>
      <c r="L32" s="23" t="n">
        <v>11</v>
      </c>
    </row>
    <row r="33">
      <c r="A33" s="22" t="inlineStr">
        <is>
          <t>MED-0011</t>
        </is>
      </c>
      <c r="B33" s="22" t="inlineStr">
        <is>
          <t>Dextrose 5% 500 ml</t>
        </is>
      </c>
      <c r="C33" s="22" t="inlineStr">
        <is>
          <t>Medicines</t>
        </is>
      </c>
      <c r="D33" s="22" t="inlineStr">
        <is>
          <t>Bottle</t>
        </is>
      </c>
      <c r="E33" s="23" t="n">
        <v>23100</v>
      </c>
      <c r="F33" s="23" t="n">
        <v>3104764.4</v>
      </c>
      <c r="G33" s="23" t="n">
        <v>3610169.4</v>
      </c>
      <c r="H33" s="24" t="n">
        <v>0.86</v>
      </c>
      <c r="I33" s="31" t="n">
        <v>0.0119</v>
      </c>
      <c r="J33" s="31" t="n">
        <v>0.7664</v>
      </c>
      <c r="K33" s="25" t="n">
        <v>134.41</v>
      </c>
      <c r="L33" s="23" t="n">
        <v>11</v>
      </c>
    </row>
    <row r="34">
      <c r="A34" s="22" t="inlineStr">
        <is>
          <t>CON-0011</t>
        </is>
      </c>
      <c r="B34" s="22" t="inlineStr">
        <is>
          <t>Nitrile Examination Gloves (Box 100)</t>
        </is>
      </c>
      <c r="C34" s="22" t="inlineStr">
        <is>
          <t>Medical Consumables</t>
        </is>
      </c>
      <c r="D34" s="22" t="inlineStr">
        <is>
          <t>Box</t>
        </is>
      </c>
      <c r="E34" s="23" t="n">
        <v>2093</v>
      </c>
      <c r="F34" s="23" t="n">
        <v>2922030.1</v>
      </c>
      <c r="G34" s="23" t="n">
        <v>3381749.9</v>
      </c>
      <c r="H34" s="24" t="n">
        <v>0.86</v>
      </c>
      <c r="I34" s="31" t="n">
        <v>0.0112</v>
      </c>
      <c r="J34" s="31" t="n">
        <v>0.7775</v>
      </c>
      <c r="K34" s="25" t="n">
        <v>1396.1</v>
      </c>
      <c r="L34" s="23" t="n">
        <v>11</v>
      </c>
    </row>
    <row r="35">
      <c r="A35" s="22" t="inlineStr">
        <is>
          <t>MED-0024</t>
        </is>
      </c>
      <c r="B35" s="22" t="inlineStr">
        <is>
          <t>Artemether + Lumefantrine 20/120 mg</t>
        </is>
      </c>
      <c r="C35" s="22" t="inlineStr">
        <is>
          <t>Medicines</t>
        </is>
      </c>
      <c r="D35" s="22" t="inlineStr">
        <is>
          <t>Tablet</t>
        </is>
      </c>
      <c r="E35" s="23" t="n">
        <v>20490</v>
      </c>
      <c r="F35" s="23" t="n">
        <v>2644763.1</v>
      </c>
      <c r="G35" s="23" t="n">
        <v>2831485.5</v>
      </c>
      <c r="H35" s="24" t="n">
        <v>0.93</v>
      </c>
      <c r="I35" s="31" t="n">
        <v>0.0101</v>
      </c>
      <c r="J35" s="31" t="n">
        <v>0.7877</v>
      </c>
      <c r="K35" s="25" t="n">
        <v>129.08</v>
      </c>
      <c r="L35" s="23" t="n">
        <v>11</v>
      </c>
    </row>
    <row r="36">
      <c r="A36" s="22" t="inlineStr">
        <is>
          <t>MED-0019</t>
        </is>
      </c>
      <c r="B36" s="22" t="inlineStr">
        <is>
          <t>Rifampicin + Isoniazid 150/75 mg</t>
        </is>
      </c>
      <c r="C36" s="22" t="inlineStr">
        <is>
          <t>Medicines</t>
        </is>
      </c>
      <c r="D36" s="22" t="inlineStr">
        <is>
          <t>Tablet</t>
        </is>
      </c>
      <c r="E36" s="23" t="n">
        <v>129024</v>
      </c>
      <c r="F36" s="23" t="n">
        <v>2626048.32</v>
      </c>
      <c r="G36" s="23" t="n">
        <v>2871738.24</v>
      </c>
      <c r="H36" s="24" t="n">
        <v>0.91</v>
      </c>
      <c r="I36" s="31" t="n">
        <v>0.01</v>
      </c>
      <c r="J36" s="31" t="n">
        <v>0.7977</v>
      </c>
      <c r="K36" s="25" t="n">
        <v>20.35</v>
      </c>
      <c r="L36" s="23" t="n">
        <v>11</v>
      </c>
    </row>
    <row r="37">
      <c r="A37" s="22" t="inlineStr">
        <is>
          <t>GEN-0007</t>
        </is>
      </c>
      <c r="B37" s="22" t="inlineStr">
        <is>
          <t>Printed IEC Material (Booklet)</t>
        </is>
      </c>
      <c r="C37" s="22" t="inlineStr">
        <is>
          <t>General Items</t>
        </is>
      </c>
      <c r="D37" s="22" t="inlineStr">
        <is>
          <t>Piece</t>
        </is>
      </c>
      <c r="E37" s="23" t="n">
        <v>58000</v>
      </c>
      <c r="F37" s="23" t="n">
        <v>2399258</v>
      </c>
      <c r="G37" s="23" t="n">
        <v>2622650</v>
      </c>
      <c r="H37" s="24" t="n">
        <v>0.91</v>
      </c>
      <c r="I37" s="31" t="n">
        <v>0.0092</v>
      </c>
      <c r="J37" s="31" t="n">
        <v>0.8069</v>
      </c>
      <c r="K37" s="25" t="n">
        <v>41.37</v>
      </c>
      <c r="L37" s="23" t="n">
        <v>11</v>
      </c>
    </row>
    <row r="38">
      <c r="A38" s="22" t="inlineStr">
        <is>
          <t>CON-0007</t>
        </is>
      </c>
      <c r="B38" s="22" t="inlineStr">
        <is>
          <t>Cotton Wool Roll 500 g</t>
        </is>
      </c>
      <c r="C38" s="22" t="inlineStr">
        <is>
          <t>Medical Consumables</t>
        </is>
      </c>
      <c r="D38" s="22" t="inlineStr">
        <is>
          <t>Roll</t>
        </is>
      </c>
      <c r="E38" s="23" t="n">
        <v>8880</v>
      </c>
      <c r="F38" s="23" t="n">
        <v>2377777.1</v>
      </c>
      <c r="G38" s="23" t="n">
        <v>2711213.8</v>
      </c>
      <c r="H38" s="24" t="n">
        <v>0.88</v>
      </c>
      <c r="I38" s="31" t="n">
        <v>0.0091</v>
      </c>
      <c r="J38" s="31" t="n">
        <v>0.8159999999999999</v>
      </c>
      <c r="K38" s="25" t="n">
        <v>267.77</v>
      </c>
      <c r="L38" s="23" t="n">
        <v>11</v>
      </c>
    </row>
    <row r="39">
      <c r="A39" s="22" t="inlineStr">
        <is>
          <t>CON-0010</t>
        </is>
      </c>
      <c r="B39" s="22" t="inlineStr">
        <is>
          <t>Surgical Face Mask, 3-ply</t>
        </is>
      </c>
      <c r="C39" s="22" t="inlineStr">
        <is>
          <t>Medical Consumables</t>
        </is>
      </c>
      <c r="D39" s="22" t="inlineStr">
        <is>
          <t>Piece</t>
        </is>
      </c>
      <c r="E39" s="23" t="n">
        <v>285050</v>
      </c>
      <c r="F39" s="23" t="n">
        <v>2237588.5</v>
      </c>
      <c r="G39" s="23" t="n">
        <v>2577449</v>
      </c>
      <c r="H39" s="24" t="n">
        <v>0.87</v>
      </c>
      <c r="I39" s="31" t="n">
        <v>0.0086</v>
      </c>
      <c r="J39" s="31" t="n">
        <v>0.8245</v>
      </c>
      <c r="K39" s="25" t="n">
        <v>7.85</v>
      </c>
      <c r="L39" s="23" t="n">
        <v>11</v>
      </c>
    </row>
    <row r="40">
      <c r="A40" s="22" t="inlineStr">
        <is>
          <t>CON-0006</t>
        </is>
      </c>
      <c r="B40" s="22" t="inlineStr">
        <is>
          <t>IV Giving Set</t>
        </is>
      </c>
      <c r="C40" s="22" t="inlineStr">
        <is>
          <t>Medical Consumables</t>
        </is>
      </c>
      <c r="D40" s="22" t="inlineStr">
        <is>
          <t>Piece</t>
        </is>
      </c>
      <c r="E40" s="23" t="n">
        <v>23750</v>
      </c>
      <c r="F40" s="23" t="n">
        <v>2182462</v>
      </c>
      <c r="G40" s="23" t="n">
        <v>2412511.5</v>
      </c>
      <c r="H40" s="24" t="n">
        <v>0.9</v>
      </c>
      <c r="I40" s="31" t="n">
        <v>0.0083</v>
      </c>
      <c r="J40" s="31" t="n">
        <v>0.8329</v>
      </c>
      <c r="K40" s="25" t="n">
        <v>91.89</v>
      </c>
      <c r="L40" s="23" t="n">
        <v>11</v>
      </c>
    </row>
    <row r="41">
      <c r="A41" s="22" t="inlineStr">
        <is>
          <t>CON-0020</t>
        </is>
      </c>
      <c r="B41" s="22" t="inlineStr">
        <is>
          <t>Sputum Collection Container</t>
        </is>
      </c>
      <c r="C41" s="22" t="inlineStr">
        <is>
          <t>Medical Consumables</t>
        </is>
      </c>
      <c r="D41" s="22" t="inlineStr">
        <is>
          <t>Piece</t>
        </is>
      </c>
      <c r="E41" s="23" t="n">
        <v>72300</v>
      </c>
      <c r="F41" s="23" t="n">
        <v>2073999</v>
      </c>
      <c r="G41" s="23" t="n">
        <v>2493219</v>
      </c>
      <c r="H41" s="24" t="n">
        <v>0.83</v>
      </c>
      <c r="I41" s="31" t="n">
        <v>0.007900000000000001</v>
      </c>
      <c r="J41" s="31" t="n">
        <v>0.8408</v>
      </c>
      <c r="K41" s="25" t="n">
        <v>28.69</v>
      </c>
      <c r="L41" s="23" t="n">
        <v>11</v>
      </c>
    </row>
    <row r="42">
      <c r="A42" s="22" t="inlineStr">
        <is>
          <t>CON-0005</t>
        </is>
      </c>
      <c r="B42" s="22" t="inlineStr">
        <is>
          <t>IV Cannula 22G</t>
        </is>
      </c>
      <c r="C42" s="22" t="inlineStr">
        <is>
          <t>Medical Consumables</t>
        </is>
      </c>
      <c r="D42" s="22" t="inlineStr">
        <is>
          <t>Piece</t>
        </is>
      </c>
      <c r="E42" s="23" t="n">
        <v>40900</v>
      </c>
      <c r="F42" s="23" t="n">
        <v>2053457.5</v>
      </c>
      <c r="G42" s="23" t="n">
        <v>2262304</v>
      </c>
      <c r="H42" s="24" t="n">
        <v>0.91</v>
      </c>
      <c r="I42" s="31" t="n">
        <v>0.007900000000000001</v>
      </c>
      <c r="J42" s="31" t="n">
        <v>0.8486</v>
      </c>
      <c r="K42" s="25" t="n">
        <v>50.21</v>
      </c>
      <c r="L42" s="23" t="n">
        <v>11</v>
      </c>
    </row>
    <row r="43">
      <c r="A43" s="22" t="inlineStr">
        <is>
          <t>CON-0013</t>
        </is>
      </c>
      <c r="B43" s="22" t="inlineStr">
        <is>
          <t>Povidone Iodine 10% 100 ml</t>
        </is>
      </c>
      <c r="C43" s="22" t="inlineStr">
        <is>
          <t>Medical Consumables</t>
        </is>
      </c>
      <c r="D43" s="22" t="inlineStr">
        <is>
          <t>Bottle</t>
        </is>
      </c>
      <c r="E43" s="23" t="n">
        <v>11220</v>
      </c>
      <c r="F43" s="23" t="n">
        <v>2048114.64</v>
      </c>
      <c r="G43" s="23" t="n">
        <v>2512437</v>
      </c>
      <c r="H43" s="24" t="n">
        <v>0.82</v>
      </c>
      <c r="I43" s="31" t="n">
        <v>0.0078</v>
      </c>
      <c r="J43" s="31" t="n">
        <v>0.8565</v>
      </c>
      <c r="K43" s="25" t="n">
        <v>182.54</v>
      </c>
      <c r="L43" s="23" t="n">
        <v>11</v>
      </c>
    </row>
    <row r="44">
      <c r="A44" s="22" t="inlineStr">
        <is>
          <t>CON-0009</t>
        </is>
      </c>
      <c r="B44" s="22" t="inlineStr">
        <is>
          <t>Adhesive Bandage 10 cm x 4 m</t>
        </is>
      </c>
      <c r="C44" s="22" t="inlineStr">
        <is>
          <t>Medical Consumables</t>
        </is>
      </c>
      <c r="D44" s="22" t="inlineStr">
        <is>
          <t>Roll</t>
        </is>
      </c>
      <c r="E44" s="23" t="n">
        <v>19092</v>
      </c>
      <c r="F44" s="23" t="n">
        <v>2001205.2</v>
      </c>
      <c r="G44" s="23" t="n">
        <v>2440068.84</v>
      </c>
      <c r="H44" s="24" t="n">
        <v>0.82</v>
      </c>
      <c r="I44" s="31" t="n">
        <v>0.0077</v>
      </c>
      <c r="J44" s="31" t="n">
        <v>0.8641</v>
      </c>
      <c r="K44" s="25" t="n">
        <v>104.82</v>
      </c>
      <c r="L44" s="23" t="n">
        <v>11</v>
      </c>
    </row>
    <row r="45">
      <c r="A45" s="22" t="inlineStr">
        <is>
          <t>CON-0017</t>
        </is>
      </c>
      <c r="B45" s="22" t="inlineStr">
        <is>
          <t>Suture Polyglactin 2-0</t>
        </is>
      </c>
      <c r="C45" s="22" t="inlineStr">
        <is>
          <t>Medical Consumables</t>
        </is>
      </c>
      <c r="D45" s="22" t="inlineStr">
        <is>
          <t>Piece</t>
        </is>
      </c>
      <c r="E45" s="23" t="n">
        <v>5796</v>
      </c>
      <c r="F45" s="23" t="n">
        <v>1974330.12</v>
      </c>
      <c r="G45" s="23" t="n">
        <v>2215558.68</v>
      </c>
      <c r="H45" s="24" t="n">
        <v>0.89</v>
      </c>
      <c r="I45" s="31" t="n">
        <v>0.0075</v>
      </c>
      <c r="J45" s="31" t="n">
        <v>0.8717</v>
      </c>
      <c r="K45" s="25" t="n">
        <v>340.64</v>
      </c>
      <c r="L45" s="23" t="n">
        <v>11</v>
      </c>
    </row>
    <row r="46">
      <c r="A46" s="22" t="inlineStr">
        <is>
          <t>GEN-0005</t>
        </is>
      </c>
      <c r="B46" s="22" t="inlineStr">
        <is>
          <t>Sharps Disposal Container 5 L</t>
        </is>
      </c>
      <c r="C46" s="22" t="inlineStr">
        <is>
          <t>General Items</t>
        </is>
      </c>
      <c r="D46" s="22" t="inlineStr">
        <is>
          <t>Piece</t>
        </is>
      </c>
      <c r="E46" s="23" t="n">
        <v>4034</v>
      </c>
      <c r="F46" s="23" t="n">
        <v>1838917.98</v>
      </c>
      <c r="G46" s="23" t="n">
        <v>2242246.08</v>
      </c>
      <c r="H46" s="24" t="n">
        <v>0.82</v>
      </c>
      <c r="I46" s="31" t="n">
        <v>0.007</v>
      </c>
      <c r="J46" s="31" t="n">
        <v>0.8787</v>
      </c>
      <c r="K46" s="25" t="n">
        <v>455.85</v>
      </c>
      <c r="L46" s="23" t="n">
        <v>11</v>
      </c>
    </row>
    <row r="47">
      <c r="A47" s="22" t="inlineStr">
        <is>
          <t>MED-0002</t>
        </is>
      </c>
      <c r="B47" s="22" t="inlineStr">
        <is>
          <t>Amoxicillin 250 mg Capsule</t>
        </is>
      </c>
      <c r="C47" s="22" t="inlineStr">
        <is>
          <t>Medicines</t>
        </is>
      </c>
      <c r="D47" s="22" t="inlineStr">
        <is>
          <t>Capsule</t>
        </is>
      </c>
      <c r="E47" s="23" t="n">
        <v>399000</v>
      </c>
      <c r="F47" s="23" t="n">
        <v>1837560</v>
      </c>
      <c r="G47" s="23" t="n">
        <v>2072530</v>
      </c>
      <c r="H47" s="24" t="n">
        <v>0.89</v>
      </c>
      <c r="I47" s="31" t="n">
        <v>0.007</v>
      </c>
      <c r="J47" s="31" t="n">
        <v>0.8857</v>
      </c>
      <c r="K47" s="25" t="n">
        <v>4.61</v>
      </c>
      <c r="L47" s="23" t="n">
        <v>11</v>
      </c>
    </row>
    <row r="48">
      <c r="A48" s="22" t="inlineStr">
        <is>
          <t>LAB-0006</t>
        </is>
      </c>
      <c r="B48" s="22" t="inlineStr">
        <is>
          <t>Blood Collection Tube EDTA 4 ml</t>
        </is>
      </c>
      <c r="C48" s="22" t="inlineStr">
        <is>
          <t>Laboratory</t>
        </is>
      </c>
      <c r="D48" s="22" t="inlineStr">
        <is>
          <t>Piece</t>
        </is>
      </c>
      <c r="E48" s="23" t="n">
        <v>61300</v>
      </c>
      <c r="F48" s="23" t="n">
        <v>1821049</v>
      </c>
      <c r="G48" s="23" t="n">
        <v>2084240</v>
      </c>
      <c r="H48" s="24" t="n">
        <v>0.87</v>
      </c>
      <c r="I48" s="31" t="n">
        <v>0.007</v>
      </c>
      <c r="J48" s="31" t="n">
        <v>0.8927</v>
      </c>
      <c r="K48" s="25" t="n">
        <v>29.71</v>
      </c>
      <c r="L48" s="23" t="n">
        <v>11</v>
      </c>
    </row>
    <row r="49">
      <c r="A49" s="22" t="inlineStr">
        <is>
          <t>GEN-0006</t>
        </is>
      </c>
      <c r="B49" s="22" t="inlineStr">
        <is>
          <t>Biohazard Waste Bag (Pack 50)</t>
        </is>
      </c>
      <c r="C49" s="22" t="inlineStr">
        <is>
          <t>General Items</t>
        </is>
      </c>
      <c r="D49" s="22" t="inlineStr">
        <is>
          <t>Pack</t>
        </is>
      </c>
      <c r="E49" s="23" t="n">
        <v>2594</v>
      </c>
      <c r="F49" s="23" t="n">
        <v>1575992.57</v>
      </c>
      <c r="G49" s="23" t="n">
        <v>1953920.73</v>
      </c>
      <c r="H49" s="24" t="n">
        <v>0.8100000000000001</v>
      </c>
      <c r="I49" s="31" t="n">
        <v>0.006</v>
      </c>
      <c r="J49" s="31" t="n">
        <v>0.8987000000000001</v>
      </c>
      <c r="K49" s="25" t="n">
        <v>607.55</v>
      </c>
      <c r="L49" s="23" t="n">
        <v>11</v>
      </c>
    </row>
    <row r="50">
      <c r="A50" s="22" t="inlineStr">
        <is>
          <t>LAB-0008</t>
        </is>
      </c>
      <c r="B50" s="22" t="inlineStr">
        <is>
          <t>Ziehl-Neelsen Stain Kit</t>
        </is>
      </c>
      <c r="C50" s="22" t="inlineStr">
        <is>
          <t>Laboratory</t>
        </is>
      </c>
      <c r="D50" s="22" t="inlineStr">
        <is>
          <t>Kit</t>
        </is>
      </c>
      <c r="E50" s="23" t="n">
        <v>340</v>
      </c>
      <c r="F50" s="23" t="n">
        <v>1459961.05</v>
      </c>
      <c r="G50" s="23" t="n">
        <v>1638378.74</v>
      </c>
      <c r="H50" s="24" t="n">
        <v>0.89</v>
      </c>
      <c r="I50" s="31" t="n">
        <v>0.0056</v>
      </c>
      <c r="J50" s="31" t="n">
        <v>0.9043</v>
      </c>
      <c r="K50" s="25" t="n">
        <v>4294</v>
      </c>
      <c r="L50" s="23" t="n">
        <v>11</v>
      </c>
    </row>
    <row r="51">
      <c r="A51" s="22" t="inlineStr">
        <is>
          <t>GEN-0003</t>
        </is>
      </c>
      <c r="B51" s="22" t="inlineStr">
        <is>
          <t>A4 Paper Ream 80 gsm</t>
        </is>
      </c>
      <c r="C51" s="22" t="inlineStr">
        <is>
          <t>General Items</t>
        </is>
      </c>
      <c r="D51" s="22" t="inlineStr">
        <is>
          <t>Ream</t>
        </is>
      </c>
      <c r="E51" s="23" t="n">
        <v>715</v>
      </c>
      <c r="F51" s="23" t="n">
        <v>1266845.1</v>
      </c>
      <c r="G51" s="23" t="n">
        <v>1442439.85</v>
      </c>
      <c r="H51" s="24" t="n">
        <v>0.88</v>
      </c>
      <c r="I51" s="31" t="n">
        <v>0.0048</v>
      </c>
      <c r="J51" s="31" t="n">
        <v>0.9091</v>
      </c>
      <c r="K51" s="25" t="n">
        <v>1771.81</v>
      </c>
      <c r="L51" s="23" t="n">
        <v>11</v>
      </c>
    </row>
    <row r="52">
      <c r="A52" s="22" t="inlineStr">
        <is>
          <t>MED-0016</t>
        </is>
      </c>
      <c r="B52" s="22" t="inlineStr">
        <is>
          <t>Ferrous Sulphate + Folic Acid Tablet</t>
        </is>
      </c>
      <c r="C52" s="22" t="inlineStr">
        <is>
          <t>Medicines</t>
        </is>
      </c>
      <c r="D52" s="22" t="inlineStr">
        <is>
          <t>Tablet</t>
        </is>
      </c>
      <c r="E52" s="23" t="n">
        <v>625000</v>
      </c>
      <c r="F52" s="23" t="n">
        <v>1259120</v>
      </c>
      <c r="G52" s="23" t="n">
        <v>1404170</v>
      </c>
      <c r="H52" s="24" t="n">
        <v>0.9</v>
      </c>
      <c r="I52" s="31" t="n">
        <v>0.0048</v>
      </c>
      <c r="J52" s="31" t="n">
        <v>0.9139</v>
      </c>
      <c r="K52" s="25" t="n">
        <v>2.01</v>
      </c>
      <c r="L52" s="23" t="n">
        <v>11</v>
      </c>
    </row>
    <row r="53">
      <c r="A53" s="22" t="inlineStr">
        <is>
          <t>CON-0016</t>
        </is>
      </c>
      <c r="B53" s="22" t="inlineStr">
        <is>
          <t>Umbilical Cord Clamp</t>
        </is>
      </c>
      <c r="C53" s="22" t="inlineStr">
        <is>
          <t>Medical Consumables</t>
        </is>
      </c>
      <c r="D53" s="22" t="inlineStr">
        <is>
          <t>Piece</t>
        </is>
      </c>
      <c r="E53" s="23" t="n">
        <v>99300</v>
      </c>
      <c r="F53" s="23" t="n">
        <v>1255206</v>
      </c>
      <c r="G53" s="23" t="n">
        <v>1403083</v>
      </c>
      <c r="H53" s="24" t="n">
        <v>0.89</v>
      </c>
      <c r="I53" s="31" t="n">
        <v>0.0048</v>
      </c>
      <c r="J53" s="31" t="n">
        <v>0.9187</v>
      </c>
      <c r="K53" s="25" t="n">
        <v>12.64</v>
      </c>
      <c r="L53" s="23" t="n">
        <v>11</v>
      </c>
    </row>
    <row r="54">
      <c r="A54" s="22" t="inlineStr">
        <is>
          <t>CON-0014</t>
        </is>
      </c>
      <c r="B54" s="22" t="inlineStr">
        <is>
          <t>Urine Collection Bag 2000 ml</t>
        </is>
      </c>
      <c r="C54" s="22" t="inlineStr">
        <is>
          <t>Medical Consumables</t>
        </is>
      </c>
      <c r="D54" s="22" t="inlineStr">
        <is>
          <t>Piece</t>
        </is>
      </c>
      <c r="E54" s="23" t="n">
        <v>14600</v>
      </c>
      <c r="F54" s="23" t="n">
        <v>1246821</v>
      </c>
      <c r="G54" s="23" t="n">
        <v>1469061</v>
      </c>
      <c r="H54" s="24" t="n">
        <v>0.85</v>
      </c>
      <c r="I54" s="31" t="n">
        <v>0.0048</v>
      </c>
      <c r="J54" s="31" t="n">
        <v>0.9235</v>
      </c>
      <c r="K54" s="25" t="n">
        <v>85.40000000000001</v>
      </c>
      <c r="L54" s="23" t="n">
        <v>11</v>
      </c>
    </row>
    <row r="55">
      <c r="A55" s="22" t="inlineStr">
        <is>
          <t>GEN-0001</t>
        </is>
      </c>
      <c r="B55" s="22" t="inlineStr">
        <is>
          <t>Nitrile Gloves, Utility (Pair)</t>
        </is>
      </c>
      <c r="C55" s="22" t="inlineStr">
        <is>
          <t>General Items</t>
        </is>
      </c>
      <c r="D55" s="22" t="inlineStr">
        <is>
          <t>Pair</t>
        </is>
      </c>
      <c r="E55" s="23" t="n">
        <v>34650</v>
      </c>
      <c r="F55" s="23" t="n">
        <v>1207280.5</v>
      </c>
      <c r="G55" s="23" t="n">
        <v>1397525.5</v>
      </c>
      <c r="H55" s="24" t="n">
        <v>0.86</v>
      </c>
      <c r="I55" s="31" t="n">
        <v>0.0046</v>
      </c>
      <c r="J55" s="31" t="n">
        <v>0.9281</v>
      </c>
      <c r="K55" s="25" t="n">
        <v>34.84</v>
      </c>
      <c r="L55" s="23" t="n">
        <v>11</v>
      </c>
    </row>
    <row r="56">
      <c r="A56" s="22" t="inlineStr">
        <is>
          <t>GEN-0002</t>
        </is>
      </c>
      <c r="B56" s="22" t="inlineStr">
        <is>
          <t>Bleach Solution 5% 1 L</t>
        </is>
      </c>
      <c r="C56" s="22" t="inlineStr">
        <is>
          <t>General Items</t>
        </is>
      </c>
      <c r="D56" s="22" t="inlineStr">
        <is>
          <t>Bottle</t>
        </is>
      </c>
      <c r="E56" s="23" t="n">
        <v>3852</v>
      </c>
      <c r="F56" s="23" t="n">
        <v>1193732.88</v>
      </c>
      <c r="G56" s="23" t="n">
        <v>1340728.56</v>
      </c>
      <c r="H56" s="24" t="n">
        <v>0.89</v>
      </c>
      <c r="I56" s="31" t="n">
        <v>0.0046</v>
      </c>
      <c r="J56" s="31" t="n">
        <v>0.9327</v>
      </c>
      <c r="K56" s="25" t="n">
        <v>309.9</v>
      </c>
      <c r="L56" s="23" t="n">
        <v>11</v>
      </c>
    </row>
    <row r="57">
      <c r="A57" s="22" t="inlineStr">
        <is>
          <t>LAB-0005</t>
        </is>
      </c>
      <c r="B57" s="22" t="inlineStr">
        <is>
          <t>Glucose Test Strips</t>
        </is>
      </c>
      <c r="C57" s="22" t="inlineStr">
        <is>
          <t>Laboratory</t>
        </is>
      </c>
      <c r="D57" s="22" t="inlineStr">
        <is>
          <t>Strip</t>
        </is>
      </c>
      <c r="E57" s="23" t="n">
        <v>24750</v>
      </c>
      <c r="F57" s="23" t="n">
        <v>1126562.5</v>
      </c>
      <c r="G57" s="23" t="n">
        <v>1293027</v>
      </c>
      <c r="H57" s="24" t="n">
        <v>0.87</v>
      </c>
      <c r="I57" s="31" t="n">
        <v>0.0043</v>
      </c>
      <c r="J57" s="31" t="n">
        <v>0.9370000000000001</v>
      </c>
      <c r="K57" s="25" t="n">
        <v>45.52</v>
      </c>
      <c r="L57" s="23" t="n">
        <v>11</v>
      </c>
    </row>
    <row r="58">
      <c r="A58" s="22" t="inlineStr">
        <is>
          <t>MED-0003</t>
        </is>
      </c>
      <c r="B58" s="22" t="inlineStr">
        <is>
          <t>Amoxicillin + Clavulanic Acid 625 mg</t>
        </is>
      </c>
      <c r="C58" s="22" t="inlineStr">
        <is>
          <t>Medicines</t>
        </is>
      </c>
      <c r="D58" s="22" t="inlineStr">
        <is>
          <t>Tablet</t>
        </is>
      </c>
      <c r="E58" s="23" t="n">
        <v>25900</v>
      </c>
      <c r="F58" s="23" t="n">
        <v>1094818</v>
      </c>
      <c r="G58" s="23" t="n">
        <v>1198601</v>
      </c>
      <c r="H58" s="24" t="n">
        <v>0.91</v>
      </c>
      <c r="I58" s="31" t="n">
        <v>0.0042</v>
      </c>
      <c r="J58" s="31" t="n">
        <v>0.9412</v>
      </c>
      <c r="K58" s="25" t="n">
        <v>42.27</v>
      </c>
      <c r="L58" s="23" t="n">
        <v>11</v>
      </c>
    </row>
    <row r="59">
      <c r="A59" s="22" t="inlineStr">
        <is>
          <t>MED-0001</t>
        </is>
      </c>
      <c r="B59" s="22" t="inlineStr">
        <is>
          <t>Paracetamol 500 mg Tablet</t>
        </is>
      </c>
      <c r="C59" s="22" t="inlineStr">
        <is>
          <t>Medicines</t>
        </is>
      </c>
      <c r="D59" s="22" t="inlineStr">
        <is>
          <t>Tablet</t>
        </is>
      </c>
      <c r="E59" s="23" t="n">
        <v>877000</v>
      </c>
      <c r="F59" s="23" t="n">
        <v>1094800</v>
      </c>
      <c r="G59" s="23" t="n">
        <v>1194430</v>
      </c>
      <c r="H59" s="24" t="n">
        <v>0.92</v>
      </c>
      <c r="I59" s="31" t="n">
        <v>0.0042</v>
      </c>
      <c r="J59" s="31" t="n">
        <v>0.9454</v>
      </c>
      <c r="K59" s="25" t="n">
        <v>1.25</v>
      </c>
      <c r="L59" s="23" t="n">
        <v>11</v>
      </c>
    </row>
    <row r="60">
      <c r="A60" s="22" t="inlineStr">
        <is>
          <t>CON-0018</t>
        </is>
      </c>
      <c r="B60" s="22" t="inlineStr">
        <is>
          <t>Blood Transfusion Set</t>
        </is>
      </c>
      <c r="C60" s="22" t="inlineStr">
        <is>
          <t>Medical Consumables</t>
        </is>
      </c>
      <c r="D60" s="22" t="inlineStr">
        <is>
          <t>Piece</t>
        </is>
      </c>
      <c r="E60" s="23" t="n">
        <v>4950</v>
      </c>
      <c r="F60" s="23" t="n">
        <v>1045133.5</v>
      </c>
      <c r="G60" s="23" t="n">
        <v>1151604.5</v>
      </c>
      <c r="H60" s="24" t="n">
        <v>0.91</v>
      </c>
      <c r="I60" s="31" t="n">
        <v>0.004</v>
      </c>
      <c r="J60" s="31" t="n">
        <v>0.9494</v>
      </c>
      <c r="K60" s="25" t="n">
        <v>211.14</v>
      </c>
      <c r="L60" s="23" t="n">
        <v>11</v>
      </c>
    </row>
    <row r="61">
      <c r="A61" s="22" t="inlineStr">
        <is>
          <t>GEN-0008</t>
        </is>
      </c>
      <c r="B61" s="22" t="inlineStr">
        <is>
          <t>Hand Wash Soap 100 g</t>
        </is>
      </c>
      <c r="C61" s="22" t="inlineStr">
        <is>
          <t>General Items</t>
        </is>
      </c>
      <c r="D61" s="22" t="inlineStr">
        <is>
          <t>Piece</t>
        </is>
      </c>
      <c r="E61" s="23" t="n">
        <v>7368</v>
      </c>
      <c r="F61" s="23" t="n">
        <v>949238.88</v>
      </c>
      <c r="G61" s="23" t="n">
        <v>1026160.32</v>
      </c>
      <c r="H61" s="24" t="n">
        <v>0.93</v>
      </c>
      <c r="I61" s="31" t="n">
        <v>0.0036</v>
      </c>
      <c r="J61" s="31" t="n">
        <v>0.953</v>
      </c>
      <c r="K61" s="25" t="n">
        <v>128.83</v>
      </c>
      <c r="L61" s="23" t="n">
        <v>11</v>
      </c>
    </row>
    <row r="62">
      <c r="A62" s="22" t="inlineStr">
        <is>
          <t>MED-0018</t>
        </is>
      </c>
      <c r="B62" s="22" t="inlineStr">
        <is>
          <t>Vitamin A 200,000 IU Capsule</t>
        </is>
      </c>
      <c r="C62" s="22" t="inlineStr">
        <is>
          <t>Medicines</t>
        </is>
      </c>
      <c r="D62" s="22" t="inlineStr">
        <is>
          <t>Capsule</t>
        </is>
      </c>
      <c r="E62" s="23" t="n">
        <v>66100</v>
      </c>
      <c r="F62" s="23" t="n">
        <v>897292</v>
      </c>
      <c r="G62" s="23" t="n">
        <v>1017260</v>
      </c>
      <c r="H62" s="24" t="n">
        <v>0.88</v>
      </c>
      <c r="I62" s="31" t="n">
        <v>0.0034</v>
      </c>
      <c r="J62" s="31" t="n">
        <v>0.9564</v>
      </c>
      <c r="K62" s="25" t="n">
        <v>13.57</v>
      </c>
      <c r="L62" s="23" t="n">
        <v>11</v>
      </c>
    </row>
    <row r="63">
      <c r="A63" s="22" t="inlineStr">
        <is>
          <t>MED-0017</t>
        </is>
      </c>
      <c r="B63" s="22" t="inlineStr">
        <is>
          <t>Zinc Sulphate 20 mg Dispersible Tablet</t>
        </is>
      </c>
      <c r="C63" s="22" t="inlineStr">
        <is>
          <t>Medicines</t>
        </is>
      </c>
      <c r="D63" s="22" t="inlineStr">
        <is>
          <t>Tablet</t>
        </is>
      </c>
      <c r="E63" s="23" t="n">
        <v>266000</v>
      </c>
      <c r="F63" s="23" t="n">
        <v>896905</v>
      </c>
      <c r="G63" s="23" t="n">
        <v>1027335</v>
      </c>
      <c r="H63" s="24" t="n">
        <v>0.87</v>
      </c>
      <c r="I63" s="31" t="n">
        <v>0.0034</v>
      </c>
      <c r="J63" s="31" t="n">
        <v>0.9598</v>
      </c>
      <c r="K63" s="25" t="n">
        <v>3.37</v>
      </c>
      <c r="L63" s="23" t="n">
        <v>11</v>
      </c>
    </row>
    <row r="64">
      <c r="A64" s="22" t="inlineStr">
        <is>
          <t>CON-0012</t>
        </is>
      </c>
      <c r="B64" s="22" t="inlineStr">
        <is>
          <t>Alcohol Swab</t>
        </is>
      </c>
      <c r="C64" s="22" t="inlineStr">
        <is>
          <t>Medical Consumables</t>
        </is>
      </c>
      <c r="D64" s="22" t="inlineStr">
        <is>
          <t>Piece</t>
        </is>
      </c>
      <c r="E64" s="23" t="n">
        <v>322400</v>
      </c>
      <c r="F64" s="23" t="n">
        <v>845865</v>
      </c>
      <c r="G64" s="23" t="n">
        <v>1053511</v>
      </c>
      <c r="H64" s="24" t="n">
        <v>0.8</v>
      </c>
      <c r="I64" s="31" t="n">
        <v>0.0032</v>
      </c>
      <c r="J64" s="31" t="n">
        <v>0.9631</v>
      </c>
      <c r="K64" s="25" t="n">
        <v>2.62</v>
      </c>
      <c r="L64" s="23" t="n">
        <v>11</v>
      </c>
    </row>
    <row r="65">
      <c r="A65" s="22" t="inlineStr">
        <is>
          <t>MED-0008</t>
        </is>
      </c>
      <c r="B65" s="22" t="inlineStr">
        <is>
          <t>Ibuprofen 400 mg Tablet</t>
        </is>
      </c>
      <c r="C65" s="22" t="inlineStr">
        <is>
          <t>Medicines</t>
        </is>
      </c>
      <c r="D65" s="22" t="inlineStr">
        <is>
          <t>Tablet</t>
        </is>
      </c>
      <c r="E65" s="23" t="n">
        <v>320000</v>
      </c>
      <c r="F65" s="23" t="n">
        <v>838190</v>
      </c>
      <c r="G65" s="23" t="n">
        <v>942800</v>
      </c>
      <c r="H65" s="24" t="n">
        <v>0.89</v>
      </c>
      <c r="I65" s="31" t="n">
        <v>0.0032</v>
      </c>
      <c r="J65" s="31" t="n">
        <v>0.9663</v>
      </c>
      <c r="K65" s="25" t="n">
        <v>2.62</v>
      </c>
      <c r="L65" s="23" t="n">
        <v>11</v>
      </c>
    </row>
    <row r="66">
      <c r="A66" s="22" t="inlineStr">
        <is>
          <t>MED-0020</t>
        </is>
      </c>
      <c r="B66" s="22" t="inlineStr">
        <is>
          <t>Isoniazid 300 mg Tablet</t>
        </is>
      </c>
      <c r="C66" s="22" t="inlineStr">
        <is>
          <t>Medicines</t>
        </is>
      </c>
      <c r="D66" s="22" t="inlineStr">
        <is>
          <t>Tablet</t>
        </is>
      </c>
      <c r="E66" s="23" t="n">
        <v>190000</v>
      </c>
      <c r="F66" s="23" t="n">
        <v>807220</v>
      </c>
      <c r="G66" s="23" t="n">
        <v>861190</v>
      </c>
      <c r="H66" s="24" t="n">
        <v>0.9399999999999999</v>
      </c>
      <c r="I66" s="31" t="n">
        <v>0.0031</v>
      </c>
      <c r="J66" s="31" t="n">
        <v>0.9694</v>
      </c>
      <c r="K66" s="25" t="n">
        <v>4.25</v>
      </c>
      <c r="L66" s="23" t="n">
        <v>10</v>
      </c>
    </row>
    <row r="67">
      <c r="A67" s="22" t="inlineStr">
        <is>
          <t>MED-0022</t>
        </is>
      </c>
      <c r="B67" s="22" t="inlineStr">
        <is>
          <t>Pyrazinamide 500 mg Tablet</t>
        </is>
      </c>
      <c r="C67" s="22" t="inlineStr">
        <is>
          <t>Medicines</t>
        </is>
      </c>
      <c r="D67" s="22" t="inlineStr">
        <is>
          <t>Tablet</t>
        </is>
      </c>
      <c r="E67" s="23" t="n">
        <v>89000</v>
      </c>
      <c r="F67" s="23" t="n">
        <v>778890</v>
      </c>
      <c r="G67" s="23" t="n">
        <v>928040</v>
      </c>
      <c r="H67" s="24" t="n">
        <v>0.84</v>
      </c>
      <c r="I67" s="31" t="n">
        <v>0.003</v>
      </c>
      <c r="J67" s="31" t="n">
        <v>0.9724</v>
      </c>
      <c r="K67" s="25" t="n">
        <v>8.75</v>
      </c>
      <c r="L67" s="23" t="n">
        <v>11</v>
      </c>
    </row>
    <row r="68">
      <c r="A68" s="22" t="inlineStr">
        <is>
          <t>MED-0021</t>
        </is>
      </c>
      <c r="B68" s="22" t="inlineStr">
        <is>
          <t>Ethambutol 400 mg Tablet</t>
        </is>
      </c>
      <c r="C68" s="22" t="inlineStr">
        <is>
          <t>Medicines</t>
        </is>
      </c>
      <c r="D68" s="22" t="inlineStr">
        <is>
          <t>Tablet</t>
        </is>
      </c>
      <c r="E68" s="23" t="n">
        <v>93000</v>
      </c>
      <c r="F68" s="23" t="n">
        <v>750335</v>
      </c>
      <c r="G68" s="23" t="n">
        <v>824070</v>
      </c>
      <c r="H68" s="24" t="n">
        <v>0.91</v>
      </c>
      <c r="I68" s="31" t="n">
        <v>0.0029</v>
      </c>
      <c r="J68" s="31" t="n">
        <v>0.9752</v>
      </c>
      <c r="K68" s="25" t="n">
        <v>8.07</v>
      </c>
      <c r="L68" s="23" t="n">
        <v>11</v>
      </c>
    </row>
    <row r="69">
      <c r="A69" s="22" t="inlineStr">
        <is>
          <t>MED-0029</t>
        </is>
      </c>
      <c r="B69" s="22" t="inlineStr">
        <is>
          <t>Diclofenac 75 mg Injection</t>
        </is>
      </c>
      <c r="C69" s="22" t="inlineStr">
        <is>
          <t>Medicines</t>
        </is>
      </c>
      <c r="D69" s="22" t="inlineStr">
        <is>
          <t>Ampoule</t>
        </is>
      </c>
      <c r="E69" s="23" t="n">
        <v>22970</v>
      </c>
      <c r="F69" s="23" t="n">
        <v>709114</v>
      </c>
      <c r="G69" s="23" t="n">
        <v>830090.3</v>
      </c>
      <c r="H69" s="24" t="n">
        <v>0.85</v>
      </c>
      <c r="I69" s="31" t="n">
        <v>0.0027</v>
      </c>
      <c r="J69" s="31" t="n">
        <v>0.9779</v>
      </c>
      <c r="K69" s="25" t="n">
        <v>30.87</v>
      </c>
      <c r="L69" s="23" t="n">
        <v>11</v>
      </c>
    </row>
    <row r="70">
      <c r="A70" s="22" t="inlineStr">
        <is>
          <t>MED-0033</t>
        </is>
      </c>
      <c r="B70" s="22" t="inlineStr">
        <is>
          <t>Calcium Carbonate + Vitamin D3</t>
        </is>
      </c>
      <c r="C70" s="22" t="inlineStr">
        <is>
          <t>Medicines</t>
        </is>
      </c>
      <c r="D70" s="22" t="inlineStr">
        <is>
          <t>Tablet</t>
        </is>
      </c>
      <c r="E70" s="23" t="n">
        <v>103500</v>
      </c>
      <c r="F70" s="23" t="n">
        <v>700700</v>
      </c>
      <c r="G70" s="23" t="n">
        <v>740495</v>
      </c>
      <c r="H70" s="24" t="n">
        <v>0.95</v>
      </c>
      <c r="I70" s="31" t="n">
        <v>0.0027</v>
      </c>
      <c r="J70" s="31" t="n">
        <v>0.9806</v>
      </c>
      <c r="K70" s="25" t="n">
        <v>6.77</v>
      </c>
      <c r="L70" s="23" t="n">
        <v>11</v>
      </c>
    </row>
    <row r="71">
      <c r="A71" s="22" t="inlineStr">
        <is>
          <t>GEN-0004</t>
        </is>
      </c>
      <c r="B71" s="22" t="inlineStr">
        <is>
          <t>Registers &amp; Health Cards (Pack)</t>
        </is>
      </c>
      <c r="C71" s="22" t="inlineStr">
        <is>
          <t>General Items</t>
        </is>
      </c>
      <c r="D71" s="22" t="inlineStr">
        <is>
          <t>Pack</t>
        </is>
      </c>
      <c r="E71" s="23" t="n">
        <v>669</v>
      </c>
      <c r="F71" s="23" t="n">
        <v>646690.02</v>
      </c>
      <c r="G71" s="23" t="n">
        <v>747564.76</v>
      </c>
      <c r="H71" s="24" t="n">
        <v>0.87</v>
      </c>
      <c r="I71" s="31" t="n">
        <v>0.0025</v>
      </c>
      <c r="J71" s="31" t="n">
        <v>0.9831</v>
      </c>
      <c r="K71" s="25" t="n">
        <v>966.65</v>
      </c>
      <c r="L71" s="23" t="n">
        <v>11</v>
      </c>
    </row>
    <row r="72">
      <c r="A72" s="22" t="inlineStr">
        <is>
          <t>MED-0023</t>
        </is>
      </c>
      <c r="B72" s="22" t="inlineStr">
        <is>
          <t>Mebendazole 100 mg Tablet</t>
        </is>
      </c>
      <c r="C72" s="22" t="inlineStr">
        <is>
          <t>Medicines</t>
        </is>
      </c>
      <c r="D72" s="22" t="inlineStr">
        <is>
          <t>Tablet</t>
        </is>
      </c>
      <c r="E72" s="23" t="n">
        <v>218500</v>
      </c>
      <c r="F72" s="23" t="n">
        <v>621075</v>
      </c>
      <c r="G72" s="23" t="n">
        <v>679405</v>
      </c>
      <c r="H72" s="24" t="n">
        <v>0.91</v>
      </c>
      <c r="I72" s="31" t="n">
        <v>0.0024</v>
      </c>
      <c r="J72" s="31" t="n">
        <v>0.9855</v>
      </c>
      <c r="K72" s="25" t="n">
        <v>2.84</v>
      </c>
      <c r="L72" s="23" t="n">
        <v>11</v>
      </c>
    </row>
    <row r="73">
      <c r="A73" s="22" t="inlineStr">
        <is>
          <t>MED-0032</t>
        </is>
      </c>
      <c r="B73" s="22" t="inlineStr">
        <is>
          <t>Folic Acid 5 mg Tablet</t>
        </is>
      </c>
      <c r="C73" s="22" t="inlineStr">
        <is>
          <t>Medicines</t>
        </is>
      </c>
      <c r="D73" s="22" t="inlineStr">
        <is>
          <t>Tablet</t>
        </is>
      </c>
      <c r="E73" s="23" t="n">
        <v>529000</v>
      </c>
      <c r="F73" s="23" t="n">
        <v>606410</v>
      </c>
      <c r="G73" s="23" t="n">
        <v>671000</v>
      </c>
      <c r="H73" s="24" t="n">
        <v>0.9</v>
      </c>
      <c r="I73" s="31" t="n">
        <v>0.0023</v>
      </c>
      <c r="J73" s="31" t="n">
        <v>0.9878</v>
      </c>
      <c r="K73" s="25" t="n">
        <v>1.15</v>
      </c>
      <c r="L73" s="23" t="n">
        <v>11</v>
      </c>
    </row>
    <row r="74">
      <c r="A74" s="22" t="inlineStr">
        <is>
          <t>MED-0005</t>
        </is>
      </c>
      <c r="B74" s="22" t="inlineStr">
        <is>
          <t>Metronidazole 400 mg Tablet</t>
        </is>
      </c>
      <c r="C74" s="22" t="inlineStr">
        <is>
          <t>Medicines</t>
        </is>
      </c>
      <c r="D74" s="22" t="inlineStr">
        <is>
          <t>Tablet</t>
        </is>
      </c>
      <c r="E74" s="23" t="n">
        <v>260000</v>
      </c>
      <c r="F74" s="23" t="n">
        <v>592540</v>
      </c>
      <c r="G74" s="23" t="n">
        <v>640160</v>
      </c>
      <c r="H74" s="24" t="n">
        <v>0.93</v>
      </c>
      <c r="I74" s="31" t="n">
        <v>0.0023</v>
      </c>
      <c r="J74" s="31" t="n">
        <v>0.99</v>
      </c>
      <c r="K74" s="25" t="n">
        <v>2.28</v>
      </c>
      <c r="L74" s="23" t="n">
        <v>11</v>
      </c>
    </row>
    <row r="75">
      <c r="A75" s="22" t="inlineStr">
        <is>
          <t>MED-0014</t>
        </is>
      </c>
      <c r="B75" s="22" t="inlineStr">
        <is>
          <t>Oxytocin 10 IU Injection</t>
        </is>
      </c>
      <c r="C75" s="22" t="inlineStr">
        <is>
          <t>Medicines</t>
        </is>
      </c>
      <c r="D75" s="22" t="inlineStr">
        <is>
          <t>Ampoule</t>
        </is>
      </c>
      <c r="E75" s="23" t="n">
        <v>10960</v>
      </c>
      <c r="F75" s="23" t="n">
        <v>410828.2</v>
      </c>
      <c r="G75" s="23" t="n">
        <v>491601.7</v>
      </c>
      <c r="H75" s="24" t="n">
        <v>0.84</v>
      </c>
      <c r="I75" s="31" t="n">
        <v>0.0016</v>
      </c>
      <c r="J75" s="31" t="n">
        <v>0.9916</v>
      </c>
      <c r="K75" s="25" t="n">
        <v>37.48</v>
      </c>
      <c r="L75" s="23" t="n">
        <v>11</v>
      </c>
    </row>
    <row r="76">
      <c r="A76" s="22" t="inlineStr">
        <is>
          <t>MED-0027</t>
        </is>
      </c>
      <c r="B76" s="22" t="inlineStr">
        <is>
          <t>Adrenaline 1 mg/ml Injection</t>
        </is>
      </c>
      <c r="C76" s="22" t="inlineStr">
        <is>
          <t>Medicines</t>
        </is>
      </c>
      <c r="D76" s="22" t="inlineStr">
        <is>
          <t>Ampoule</t>
        </is>
      </c>
      <c r="E76" s="23" t="n">
        <v>5130</v>
      </c>
      <c r="F76" s="23" t="n">
        <v>379918.3</v>
      </c>
      <c r="G76" s="23" t="n">
        <v>441803.6</v>
      </c>
      <c r="H76" s="24" t="n">
        <v>0.86</v>
      </c>
      <c r="I76" s="31" t="n">
        <v>0.0015</v>
      </c>
      <c r="J76" s="31" t="n">
        <v>0.9931</v>
      </c>
      <c r="K76" s="25" t="n">
        <v>74.06</v>
      </c>
      <c r="L76" s="23" t="n">
        <v>11</v>
      </c>
    </row>
    <row r="77">
      <c r="A77" s="22" t="inlineStr">
        <is>
          <t>MED-0026</t>
        </is>
      </c>
      <c r="B77" s="22" t="inlineStr">
        <is>
          <t>Hydrocortisone 100 mg Injection</t>
        </is>
      </c>
      <c r="C77" s="22" t="inlineStr">
        <is>
          <t>Medicines</t>
        </is>
      </c>
      <c r="D77" s="22" t="inlineStr">
        <is>
          <t>Vial</t>
        </is>
      </c>
      <c r="E77" s="23" t="n">
        <v>6392</v>
      </c>
      <c r="F77" s="23" t="n">
        <v>362456.67</v>
      </c>
      <c r="G77" s="23" t="n">
        <v>423696.76</v>
      </c>
      <c r="H77" s="24" t="n">
        <v>0.86</v>
      </c>
      <c r="I77" s="31" t="n">
        <v>0.0014</v>
      </c>
      <c r="J77" s="31" t="n">
        <v>0.9944</v>
      </c>
      <c r="K77" s="25" t="n">
        <v>56.7</v>
      </c>
      <c r="L77" s="23" t="n">
        <v>11</v>
      </c>
    </row>
    <row r="78">
      <c r="A78" s="22" t="inlineStr">
        <is>
          <t>MED-0006</t>
        </is>
      </c>
      <c r="B78" s="22" t="inlineStr">
        <is>
          <t>Ciprofloxacin 500 mg Tablet</t>
        </is>
      </c>
      <c r="C78" s="22" t="inlineStr">
        <is>
          <t>Medicines</t>
        </is>
      </c>
      <c r="D78" s="22" t="inlineStr">
        <is>
          <t>Tablet</t>
        </is>
      </c>
      <c r="E78" s="23" t="n">
        <v>48000</v>
      </c>
      <c r="F78" s="23" t="n">
        <v>354338</v>
      </c>
      <c r="G78" s="23" t="n">
        <v>412058</v>
      </c>
      <c r="H78" s="24" t="n">
        <v>0.86</v>
      </c>
      <c r="I78" s="31" t="n">
        <v>0.0014</v>
      </c>
      <c r="J78" s="31" t="n">
        <v>0.9958</v>
      </c>
      <c r="K78" s="25" t="n">
        <v>7.38</v>
      </c>
      <c r="L78" s="23" t="n">
        <v>11</v>
      </c>
    </row>
    <row r="79">
      <c r="A79" s="22" t="inlineStr">
        <is>
          <t>MED-0013</t>
        </is>
      </c>
      <c r="B79" s="22" t="inlineStr">
        <is>
          <t>Misoprostol 200 mcg Tablet</t>
        </is>
      </c>
      <c r="C79" s="22" t="inlineStr">
        <is>
          <t>Medicines</t>
        </is>
      </c>
      <c r="D79" s="22" t="inlineStr">
        <is>
          <t>Tablet</t>
        </is>
      </c>
      <c r="E79" s="23" t="n">
        <v>11400</v>
      </c>
      <c r="F79" s="23" t="n">
        <v>322084.8</v>
      </c>
      <c r="G79" s="23" t="n">
        <v>374416.8</v>
      </c>
      <c r="H79" s="24" t="n">
        <v>0.86</v>
      </c>
      <c r="I79" s="31" t="n">
        <v>0.0012</v>
      </c>
      <c r="J79" s="31" t="n">
        <v>0.997</v>
      </c>
      <c r="K79" s="25" t="n">
        <v>28.25</v>
      </c>
      <c r="L79" s="23" t="n">
        <v>11</v>
      </c>
    </row>
    <row r="80">
      <c r="A80" s="22" t="inlineStr">
        <is>
          <t>LAB-0007</t>
        </is>
      </c>
      <c r="B80" s="22" t="inlineStr">
        <is>
          <t>Microscope Slide, Frosted</t>
        </is>
      </c>
      <c r="C80" s="22" t="inlineStr">
        <is>
          <t>Laboratory</t>
        </is>
      </c>
      <c r="D80" s="22" t="inlineStr">
        <is>
          <t>Piece</t>
        </is>
      </c>
      <c r="E80" s="23" t="n">
        <v>43100</v>
      </c>
      <c r="F80" s="23" t="n">
        <v>259837</v>
      </c>
      <c r="G80" s="23" t="n">
        <v>303611.5</v>
      </c>
      <c r="H80" s="24" t="n">
        <v>0.86</v>
      </c>
      <c r="I80" s="31" t="n">
        <v>0.001</v>
      </c>
      <c r="J80" s="31" t="n">
        <v>0.998</v>
      </c>
      <c r="K80" s="25" t="n">
        <v>6.03</v>
      </c>
      <c r="L80" s="23" t="n">
        <v>11</v>
      </c>
    </row>
    <row r="81">
      <c r="A81" s="22" t="inlineStr">
        <is>
          <t>MED-0015</t>
        </is>
      </c>
      <c r="B81" s="22" t="inlineStr">
        <is>
          <t>Magnesium Sulphate 50% 10 ml</t>
        </is>
      </c>
      <c r="C81" s="22" t="inlineStr">
        <is>
          <t>Medicines</t>
        </is>
      </c>
      <c r="D81" s="22" t="inlineStr">
        <is>
          <t>Ampoule</t>
        </is>
      </c>
      <c r="E81" s="23" t="n">
        <v>5390</v>
      </c>
      <c r="F81" s="23" t="n">
        <v>243301.1</v>
      </c>
      <c r="G81" s="23" t="n">
        <v>271847.3</v>
      </c>
      <c r="H81" s="24" t="n">
        <v>0.89</v>
      </c>
      <c r="I81" s="31" t="n">
        <v>0.0009</v>
      </c>
      <c r="J81" s="31" t="n">
        <v>0.999</v>
      </c>
      <c r="K81" s="25" t="n">
        <v>45.14</v>
      </c>
      <c r="L81" s="23" t="n">
        <v>11</v>
      </c>
    </row>
    <row r="82">
      <c r="A82" s="22" t="inlineStr">
        <is>
          <t>MED-0028</t>
        </is>
      </c>
      <c r="B82" s="22" t="inlineStr">
        <is>
          <t>Atropine 0.6 mg/ml Injection</t>
        </is>
      </c>
      <c r="C82" s="22" t="inlineStr">
        <is>
          <t>Medicines</t>
        </is>
      </c>
      <c r="D82" s="22" t="inlineStr">
        <is>
          <t>Ampoule</t>
        </is>
      </c>
      <c r="E82" s="23" t="n">
        <v>4240</v>
      </c>
      <c r="F82" s="23" t="n">
        <v>180479.9</v>
      </c>
      <c r="G82" s="23" t="n">
        <v>205826.6</v>
      </c>
      <c r="H82" s="24" t="n">
        <v>0.88</v>
      </c>
      <c r="I82" s="31" t="n">
        <v>0.0007</v>
      </c>
      <c r="J82" s="31" t="n">
        <v>0.9996</v>
      </c>
      <c r="K82" s="25" t="n">
        <v>42.57</v>
      </c>
      <c r="L82" s="23" t="n">
        <v>11</v>
      </c>
    </row>
    <row r="83">
      <c r="A83" s="22" t="inlineStr">
        <is>
          <t>EQP-0009</t>
        </is>
      </c>
      <c r="B83" s="22" t="inlineStr">
        <is>
          <t>Examination Couch, Folding</t>
        </is>
      </c>
      <c r="C83" s="22" t="inlineStr">
        <is>
          <t>Equipment</t>
        </is>
      </c>
      <c r="D83" s="22" t="inlineStr">
        <is>
          <t>Unit</t>
        </is>
      </c>
      <c r="E83" s="23" t="n">
        <v>1</v>
      </c>
      <c r="F83" s="23" t="n">
        <v>33911.87</v>
      </c>
      <c r="G83" s="23" t="n">
        <v>33635.12</v>
      </c>
      <c r="H83" s="24" t="n">
        <v>1.01</v>
      </c>
      <c r="I83" s="31" t="n">
        <v>0.0001</v>
      </c>
      <c r="J83" s="31" t="n">
        <v>0.9998</v>
      </c>
      <c r="K83" s="25" t="n">
        <v>33911.87</v>
      </c>
      <c r="L83" s="23" t="n">
        <v>1</v>
      </c>
    </row>
    <row r="84">
      <c r="A84" s="22" t="inlineStr">
        <is>
          <t>EQP-0001</t>
        </is>
      </c>
      <c r="B84" s="22" t="inlineStr">
        <is>
          <t>Digital Weighing Scale, Infant</t>
        </is>
      </c>
      <c r="C84" s="22" t="inlineStr">
        <is>
          <t>Equipment</t>
        </is>
      </c>
      <c r="D84" s="22" t="inlineStr">
        <is>
          <t>Unit</t>
        </is>
      </c>
      <c r="E84" s="23" t="n">
        <v>1</v>
      </c>
      <c r="F84" s="23" t="n">
        <v>18452.05</v>
      </c>
      <c r="G84" s="23" t="n">
        <v>21650.12</v>
      </c>
      <c r="H84" s="24" t="n">
        <v>0.85</v>
      </c>
      <c r="I84" s="31" t="n">
        <v>0.0001</v>
      </c>
      <c r="J84" s="31" t="n">
        <v>0.9998</v>
      </c>
      <c r="K84" s="25" t="n">
        <v>18452.05</v>
      </c>
      <c r="L84" s="23" t="n">
        <v>1</v>
      </c>
    </row>
    <row r="85">
      <c r="A85" s="22" t="inlineStr">
        <is>
          <t>EQP-0008</t>
        </is>
      </c>
      <c r="B85" s="22" t="inlineStr">
        <is>
          <t>Nebuliser Machine</t>
        </is>
      </c>
      <c r="C85" s="22" t="inlineStr">
        <is>
          <t>Equipment</t>
        </is>
      </c>
      <c r="D85" s="22" t="inlineStr">
        <is>
          <t>Unit</t>
        </is>
      </c>
      <c r="E85" s="23" t="n">
        <v>1</v>
      </c>
      <c r="F85" s="23" t="n">
        <v>14462.42</v>
      </c>
      <c r="G85" s="23" t="n">
        <v>15758.28</v>
      </c>
      <c r="H85" s="24" t="n">
        <v>0.92</v>
      </c>
      <c r="I85" s="31" t="n">
        <v>0.0001</v>
      </c>
      <c r="J85" s="31" t="n">
        <v>0.9999</v>
      </c>
      <c r="K85" s="25" t="n">
        <v>14462.42</v>
      </c>
      <c r="L85" s="23" t="n">
        <v>1</v>
      </c>
    </row>
    <row r="86">
      <c r="A86" s="22" t="inlineStr">
        <is>
          <t>EQP-0010</t>
        </is>
      </c>
      <c r="B86" s="22" t="inlineStr">
        <is>
          <t>Cold Box, Vaccine Carrier 5 L</t>
        </is>
      </c>
      <c r="C86" s="22" t="inlineStr">
        <is>
          <t>Equipment</t>
        </is>
      </c>
      <c r="D86" s="22" t="inlineStr">
        <is>
          <t>Unit</t>
        </is>
      </c>
      <c r="E86" s="23" t="n">
        <v>1</v>
      </c>
      <c r="F86" s="23" t="n">
        <v>12766.82</v>
      </c>
      <c r="G86" s="23" t="n">
        <v>12057.78</v>
      </c>
      <c r="H86" s="24" t="n">
        <v>1.06</v>
      </c>
      <c r="I86" s="31" t="n">
        <v>0</v>
      </c>
      <c r="J86" s="31" t="n">
        <v>1</v>
      </c>
      <c r="K86" s="25" t="n">
        <v>12766.82</v>
      </c>
      <c r="L86" s="23" t="n">
        <v>1</v>
      </c>
    </row>
    <row r="87">
      <c r="A87" s="22" t="inlineStr">
        <is>
          <t>EQP-0007</t>
        </is>
      </c>
      <c r="B87" s="22" t="inlineStr">
        <is>
          <t>Pulse Oximeter, Fingertip</t>
        </is>
      </c>
      <c r="C87" s="22" t="inlineStr">
        <is>
          <t>Equipment</t>
        </is>
      </c>
      <c r="D87" s="22" t="inlineStr">
        <is>
          <t>Unit</t>
        </is>
      </c>
      <c r="E87" s="23" t="n">
        <v>1</v>
      </c>
      <c r="F87" s="23" t="n">
        <v>6782.37</v>
      </c>
      <c r="G87" s="23" t="n">
        <v>8582.08</v>
      </c>
      <c r="H87" s="24" t="n">
        <v>0.79</v>
      </c>
      <c r="I87" s="31" t="n">
        <v>0</v>
      </c>
      <c r="J87" s="31" t="n">
        <v>1</v>
      </c>
      <c r="K87" s="25" t="n">
        <v>6782.37</v>
      </c>
      <c r="L87" s="23" t="n">
        <v>1</v>
      </c>
    </row>
    <row r="88">
      <c r="A88" s="22" t="inlineStr">
        <is>
          <t>EQP-0006</t>
        </is>
      </c>
      <c r="B88" s="22" t="inlineStr">
        <is>
          <t>Digital Thermometer</t>
        </is>
      </c>
      <c r="C88" s="22" t="inlineStr">
        <is>
          <t>Equipment</t>
        </is>
      </c>
      <c r="D88" s="22" t="inlineStr">
        <is>
          <t>Unit</t>
        </is>
      </c>
      <c r="E88" s="23" t="n">
        <v>4</v>
      </c>
      <c r="F88" s="23" t="n">
        <v>5784.96</v>
      </c>
      <c r="G88" s="23" t="n">
        <v>5093.71</v>
      </c>
      <c r="H88" s="24" t="n">
        <v>1.14</v>
      </c>
      <c r="I88" s="31" t="n">
        <v>0</v>
      </c>
      <c r="J88" s="31" t="n">
        <v>1</v>
      </c>
      <c r="K88" s="25" t="n">
        <v>1446.24</v>
      </c>
      <c r="L88" s="23" t="n">
        <v>4</v>
      </c>
    </row>
    <row r="89">
      <c r="A89" s="26" t="inlineStr"/>
      <c r="B89" s="26" t="inlineStr">
        <is>
          <t>TOTAL</t>
        </is>
      </c>
      <c r="C89" s="26" t="inlineStr"/>
      <c r="D89" s="26" t="inlineStr"/>
      <c r="E89" s="27" t="n">
        <v>8389058</v>
      </c>
      <c r="F89" s="27" t="n">
        <v>261575946.1</v>
      </c>
      <c r="G89" s="27" t="n">
        <v>300845059.6</v>
      </c>
      <c r="H89" s="28" t="n">
        <v>0.87</v>
      </c>
      <c r="I89" s="32" t="n">
        <v>1</v>
      </c>
      <c r="J89" s="26" t="inlineStr"/>
      <c r="K89" s="26" t="inlineStr"/>
      <c r="L89" s="26" t="inlineStr"/>
    </row>
  </sheetData>
  <mergeCells count="1">
    <mergeCell ref="A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C78A8"/>
    <outlinePr summaryBelow="1" summaryRight="1"/>
    <pageSetUpPr/>
  </sheetPr>
  <dimension ref="A1:AC20"/>
  <sheetViews>
    <sheetView showGridLines="0" zoomScale="9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5" customWidth="1" min="29" max="29"/>
  </cols>
  <sheetData>
    <row r="1">
      <c r="A1" s="1" t="inlineStr">
        <is>
          <t>Top 15 Products – Monthly Consumption Value</t>
        </is>
      </c>
    </row>
    <row r="2">
      <c r="A2" s="2" t="inlineStr">
        <is>
          <t>Month-wise value in PKR for the fifteen highest-value products; a heat map would be applied on the Power BI page.</t>
        </is>
      </c>
    </row>
    <row r="3" ht="6" customHeight="1"/>
    <row r="5" ht="34" customHeight="1">
      <c r="A5" s="11" t="inlineStr">
        <is>
          <t>Item description</t>
        </is>
      </c>
      <c r="B5" s="11" t="inlineStr">
        <is>
          <t>Jul-24</t>
        </is>
      </c>
      <c r="C5" s="11" t="inlineStr">
        <is>
          <t>Aug-24</t>
        </is>
      </c>
      <c r="D5" s="11" t="inlineStr">
        <is>
          <t>Sep-24</t>
        </is>
      </c>
      <c r="E5" s="11" t="inlineStr">
        <is>
          <t>Oct-24</t>
        </is>
      </c>
      <c r="F5" s="11" t="inlineStr">
        <is>
          <t>Nov-24</t>
        </is>
      </c>
      <c r="G5" s="11" t="inlineStr">
        <is>
          <t>Dec-24</t>
        </is>
      </c>
      <c r="H5" s="11" t="inlineStr">
        <is>
          <t>Jan-25</t>
        </is>
      </c>
      <c r="I5" s="11" t="inlineStr">
        <is>
          <t>Feb-25</t>
        </is>
      </c>
      <c r="J5" s="11" t="inlineStr">
        <is>
          <t>Mar-25</t>
        </is>
      </c>
      <c r="K5" s="11" t="inlineStr">
        <is>
          <t>Apr-25</t>
        </is>
      </c>
      <c r="L5" s="11" t="inlineStr">
        <is>
          <t>May-25</t>
        </is>
      </c>
      <c r="M5" s="11" t="inlineStr">
        <is>
          <t>Jun-25</t>
        </is>
      </c>
      <c r="N5" s="11" t="inlineStr">
        <is>
          <t>Jul-25</t>
        </is>
      </c>
      <c r="O5" s="11" t="inlineStr">
        <is>
          <t>Aug-25</t>
        </is>
      </c>
      <c r="P5" s="11" t="inlineStr">
        <is>
          <t>Sep-25</t>
        </is>
      </c>
      <c r="Q5" s="11" t="inlineStr">
        <is>
          <t>Oct-25</t>
        </is>
      </c>
      <c r="R5" s="11" t="inlineStr">
        <is>
          <t>Nov-25</t>
        </is>
      </c>
      <c r="S5" s="11" t="inlineStr">
        <is>
          <t>Dec-25</t>
        </is>
      </c>
      <c r="T5" s="11" t="inlineStr">
        <is>
          <t>Jan-26</t>
        </is>
      </c>
      <c r="U5" s="11" t="inlineStr">
        <is>
          <t>Feb-26</t>
        </is>
      </c>
      <c r="V5" s="11" t="inlineStr">
        <is>
          <t>Mar-26</t>
        </is>
      </c>
      <c r="W5" s="11" t="inlineStr">
        <is>
          <t>Apr-26</t>
        </is>
      </c>
      <c r="X5" s="11" t="inlineStr">
        <is>
          <t>May-26</t>
        </is>
      </c>
      <c r="Y5" s="11" t="inlineStr">
        <is>
          <t>Jun-26</t>
        </is>
      </c>
      <c r="Z5" s="11" t="inlineStr">
        <is>
          <t>Jul-26</t>
        </is>
      </c>
      <c r="AA5" s="11" t="inlineStr">
        <is>
          <t>Aug-26</t>
        </is>
      </c>
      <c r="AB5" s="11" t="inlineStr">
        <is>
          <t>Sep-26</t>
        </is>
      </c>
      <c r="AC5" s="11" t="inlineStr">
        <is>
          <t>Total</t>
        </is>
      </c>
    </row>
    <row r="6">
      <c r="A6" s="22" t="inlineStr">
        <is>
          <t>RUTF Plumpy'Nut 92 g Sachet</t>
        </is>
      </c>
      <c r="B6" s="23" t="n">
        <v>468873</v>
      </c>
      <c r="C6" s="23" t="n">
        <v>792786</v>
      </c>
      <c r="D6" s="23" t="n">
        <v>529812</v>
      </c>
      <c r="E6" s="23" t="n">
        <v>824004</v>
      </c>
      <c r="F6" s="23" t="n">
        <v>643735.5</v>
      </c>
      <c r="G6" s="23" t="n">
        <v>636171</v>
      </c>
      <c r="H6" s="23" t="n">
        <v>1207104</v>
      </c>
      <c r="I6" s="23" t="n">
        <v>741831</v>
      </c>
      <c r="J6" s="23" t="n">
        <v>859161</v>
      </c>
      <c r="K6" s="23" t="n">
        <v>730473</v>
      </c>
      <c r="L6" s="23" t="n">
        <v>638992.5</v>
      </c>
      <c r="M6" s="23" t="n">
        <v>518302.5</v>
      </c>
      <c r="N6" s="23" t="n">
        <v>794275.5</v>
      </c>
      <c r="O6" s="23" t="n">
        <v>814158</v>
      </c>
      <c r="P6" s="23" t="n">
        <v>1169418</v>
      </c>
      <c r="Q6" s="23" t="n">
        <v>1062951</v>
      </c>
      <c r="R6" s="23" t="n">
        <v>934284</v>
      </c>
      <c r="S6" s="23" t="n">
        <v>922479</v>
      </c>
      <c r="T6" s="23" t="n">
        <v>1197745.5</v>
      </c>
      <c r="U6" s="23" t="n">
        <v>1153206</v>
      </c>
      <c r="V6" s="23" t="n">
        <v>693333</v>
      </c>
      <c r="W6" s="23" t="n">
        <v>639169.5</v>
      </c>
      <c r="X6" s="23" t="n">
        <v>534510</v>
      </c>
      <c r="Y6" s="23" t="n">
        <v>425553</v>
      </c>
      <c r="Z6" s="23" t="n">
        <v>1007701.5</v>
      </c>
      <c r="AA6" s="23" t="n">
        <v>1210281</v>
      </c>
      <c r="AB6" s="23" t="n">
        <v>1117356</v>
      </c>
      <c r="AC6" s="23" t="n">
        <v>22267666.5</v>
      </c>
    </row>
    <row r="7">
      <c r="A7" s="22" t="inlineStr">
        <is>
          <t>Deferasirox 500 mg Tablet</t>
        </is>
      </c>
      <c r="B7" s="23" t="n">
        <v>471207.6</v>
      </c>
      <c r="C7" s="23" t="n">
        <v>604335.6</v>
      </c>
      <c r="D7" s="23" t="n">
        <v>673161.3</v>
      </c>
      <c r="E7" s="23" t="n">
        <v>701157.3</v>
      </c>
      <c r="F7" s="23" t="n">
        <v>493754.7</v>
      </c>
      <c r="G7" s="23" t="n">
        <v>524063.1</v>
      </c>
      <c r="H7" s="23" t="n">
        <v>972920.1</v>
      </c>
      <c r="I7" s="23" t="n">
        <v>891625.2</v>
      </c>
      <c r="J7" s="23" t="n">
        <v>638824.8</v>
      </c>
      <c r="K7" s="23" t="n">
        <v>734824.8</v>
      </c>
      <c r="L7" s="23" t="n">
        <v>644877.3</v>
      </c>
      <c r="M7" s="23" t="n">
        <v>624603</v>
      </c>
      <c r="N7" s="23" t="n">
        <v>736262.1</v>
      </c>
      <c r="O7" s="23" t="n">
        <v>1276553.4</v>
      </c>
      <c r="P7" s="23" t="n">
        <v>1176894.3</v>
      </c>
      <c r="Q7" s="23" t="n">
        <v>898148.1</v>
      </c>
      <c r="R7" s="23" t="n">
        <v>437482.2</v>
      </c>
      <c r="S7" s="23" t="n">
        <v>771732.9</v>
      </c>
      <c r="T7" s="23" t="n">
        <v>771097.8</v>
      </c>
      <c r="U7" s="23" t="n">
        <v>671385.9</v>
      </c>
      <c r="V7" s="23" t="n">
        <v>439694.4</v>
      </c>
      <c r="W7" s="23" t="n">
        <v>535448.7</v>
      </c>
      <c r="X7" s="23" t="n">
        <v>689250.9</v>
      </c>
      <c r="Y7" s="23" t="n">
        <v>705170.4</v>
      </c>
      <c r="Z7" s="23" t="n">
        <v>926021.4</v>
      </c>
      <c r="AA7" s="23" t="n">
        <v>820809.6</v>
      </c>
      <c r="AB7" s="23" t="n">
        <v>830759.1</v>
      </c>
      <c r="AC7" s="23" t="n">
        <v>19662066</v>
      </c>
    </row>
    <row r="8">
      <c r="A8" s="22" t="inlineStr">
        <is>
          <t>ORS Sachet (Low Osmolarity)</t>
        </is>
      </c>
      <c r="B8" s="23" t="n">
        <v>214169</v>
      </c>
      <c r="C8" s="23" t="n">
        <v>452885</v>
      </c>
      <c r="D8" s="23" t="n">
        <v>293650</v>
      </c>
      <c r="E8" s="23" t="n">
        <v>447453</v>
      </c>
      <c r="F8" s="23" t="n">
        <v>381909</v>
      </c>
      <c r="G8" s="23" t="n">
        <v>438051</v>
      </c>
      <c r="H8" s="23" t="n">
        <v>687932</v>
      </c>
      <c r="I8" s="23" t="n">
        <v>520383</v>
      </c>
      <c r="J8" s="23" t="n">
        <v>263738</v>
      </c>
      <c r="K8" s="23" t="n">
        <v>431188</v>
      </c>
      <c r="L8" s="23" t="n">
        <v>392881</v>
      </c>
      <c r="M8" s="23" t="n">
        <v>476118</v>
      </c>
      <c r="N8" s="23" t="n">
        <v>472162</v>
      </c>
      <c r="O8" s="23" t="n">
        <v>742253</v>
      </c>
      <c r="P8" s="23" t="n">
        <v>671506</v>
      </c>
      <c r="Q8" s="23" t="n">
        <v>504806</v>
      </c>
      <c r="R8" s="23" t="n">
        <v>476366</v>
      </c>
      <c r="S8" s="23" t="n">
        <v>613315</v>
      </c>
      <c r="T8" s="23" t="n">
        <v>610373</v>
      </c>
      <c r="U8" s="23" t="n">
        <v>497409</v>
      </c>
      <c r="V8" s="23" t="n">
        <v>278663</v>
      </c>
      <c r="W8" s="23" t="n">
        <v>503969</v>
      </c>
      <c r="X8" s="23" t="n">
        <v>343526</v>
      </c>
      <c r="Y8" s="23" t="n">
        <v>344738</v>
      </c>
      <c r="Z8" s="23" t="n">
        <v>445684</v>
      </c>
      <c r="AA8" s="23" t="n">
        <v>559691</v>
      </c>
      <c r="AB8" s="23" t="n">
        <v>503877</v>
      </c>
      <c r="AC8" s="23" t="n">
        <v>12568695</v>
      </c>
    </row>
    <row r="9">
      <c r="A9" s="22" t="inlineStr">
        <is>
          <t>F-100 Therapeutic Milk 400 g</t>
        </is>
      </c>
      <c r="B9" s="23" t="n">
        <v>313473.84</v>
      </c>
      <c r="C9" s="23" t="n">
        <v>412779.12</v>
      </c>
      <c r="D9" s="23" t="n">
        <v>482332.56</v>
      </c>
      <c r="E9" s="23" t="n">
        <v>370073.52</v>
      </c>
      <c r="F9" s="23" t="n">
        <v>293280</v>
      </c>
      <c r="G9" s="23" t="n">
        <v>310049.52</v>
      </c>
      <c r="H9" s="23" t="n">
        <v>489657.12</v>
      </c>
      <c r="I9" s="23" t="n">
        <v>500446.08</v>
      </c>
      <c r="J9" s="23" t="n">
        <v>209807.52</v>
      </c>
      <c r="K9" s="23" t="n">
        <v>388320.24</v>
      </c>
      <c r="L9" s="23" t="n">
        <v>349683.84</v>
      </c>
      <c r="M9" s="23" t="n">
        <v>459781.2</v>
      </c>
      <c r="N9" s="23" t="n">
        <v>421715.04</v>
      </c>
      <c r="O9" s="23" t="n">
        <v>548673.36</v>
      </c>
      <c r="P9" s="23" t="n">
        <v>729022.5600000001</v>
      </c>
      <c r="Q9" s="23" t="n">
        <v>427743.12</v>
      </c>
      <c r="R9" s="23" t="n">
        <v>315516.72</v>
      </c>
      <c r="S9" s="23" t="n">
        <v>449734.08</v>
      </c>
      <c r="T9" s="23" t="n">
        <v>524169.12</v>
      </c>
      <c r="U9" s="23" t="n">
        <v>391054.32</v>
      </c>
      <c r="V9" s="23" t="n">
        <v>275888.4</v>
      </c>
      <c r="W9" s="23" t="n">
        <v>512576.64</v>
      </c>
      <c r="X9" s="23" t="n">
        <v>341612.88</v>
      </c>
      <c r="Y9" s="23" t="n">
        <v>379426.08</v>
      </c>
      <c r="Z9" s="23" t="n">
        <v>519300.24</v>
      </c>
      <c r="AA9" s="23" t="n">
        <v>535721.52</v>
      </c>
      <c r="AB9" s="23" t="n">
        <v>535441.4399999999</v>
      </c>
      <c r="AC9" s="23" t="n">
        <v>11487280.08</v>
      </c>
    </row>
    <row r="10">
      <c r="A10" s="22" t="inlineStr">
        <is>
          <t>Disposable Syringe 5 ml with Needle</t>
        </is>
      </c>
      <c r="B10" s="23" t="n">
        <v>318814</v>
      </c>
      <c r="C10" s="23" t="n">
        <v>324294</v>
      </c>
      <c r="D10" s="23" t="n">
        <v>277465</v>
      </c>
      <c r="E10" s="23" t="n">
        <v>278511</v>
      </c>
      <c r="F10" s="23" t="n">
        <v>256904</v>
      </c>
      <c r="G10" s="23" t="n">
        <v>305297</v>
      </c>
      <c r="H10" s="23" t="n">
        <v>443031</v>
      </c>
      <c r="I10" s="23" t="n">
        <v>413024</v>
      </c>
      <c r="J10" s="23" t="n">
        <v>346778</v>
      </c>
      <c r="K10" s="23" t="n">
        <v>274221</v>
      </c>
      <c r="L10" s="23" t="n">
        <v>207059</v>
      </c>
      <c r="M10" s="23" t="n">
        <v>361879</v>
      </c>
      <c r="N10" s="23" t="n">
        <v>537767</v>
      </c>
      <c r="O10" s="23" t="n">
        <v>551544</v>
      </c>
      <c r="P10" s="23" t="n">
        <v>487522</v>
      </c>
      <c r="Q10" s="23" t="n">
        <v>357252</v>
      </c>
      <c r="R10" s="23" t="n">
        <v>325915</v>
      </c>
      <c r="S10" s="23" t="n">
        <v>462301</v>
      </c>
      <c r="T10" s="23" t="n">
        <v>313732</v>
      </c>
      <c r="U10" s="23" t="n">
        <v>485129</v>
      </c>
      <c r="V10" s="23" t="n">
        <v>292605</v>
      </c>
      <c r="W10" s="23" t="n">
        <v>269589</v>
      </c>
      <c r="X10" s="23" t="n">
        <v>398047</v>
      </c>
      <c r="Y10" s="23" t="n">
        <v>381213</v>
      </c>
      <c r="Z10" s="23" t="n">
        <v>444627</v>
      </c>
      <c r="AA10" s="23" t="n">
        <v>507665</v>
      </c>
      <c r="AB10" s="23" t="n">
        <v>433166</v>
      </c>
      <c r="AC10" s="23" t="n">
        <v>10055351</v>
      </c>
    </row>
    <row r="11">
      <c r="A11" s="22" t="inlineStr">
        <is>
          <t>F-75 Therapeutic Milk 400 g</t>
        </is>
      </c>
      <c r="B11" s="23" t="n">
        <v>278606.16</v>
      </c>
      <c r="C11" s="23" t="n">
        <v>227743.68</v>
      </c>
      <c r="D11" s="23" t="n">
        <v>427827.36</v>
      </c>
      <c r="E11" s="23" t="n">
        <v>121074</v>
      </c>
      <c r="F11" s="23" t="n">
        <v>291080.88</v>
      </c>
      <c r="G11" s="23" t="n">
        <v>217460.64</v>
      </c>
      <c r="H11" s="23" t="n">
        <v>524125.92</v>
      </c>
      <c r="I11" s="23" t="n">
        <v>286091.76</v>
      </c>
      <c r="J11" s="23" t="n">
        <v>358518.96</v>
      </c>
      <c r="K11" s="23" t="n">
        <v>345540.96</v>
      </c>
      <c r="L11" s="23" t="n">
        <v>282205.2</v>
      </c>
      <c r="M11" s="23" t="n">
        <v>300122.16</v>
      </c>
      <c r="N11" s="23" t="n">
        <v>405023.28</v>
      </c>
      <c r="O11" s="23" t="n">
        <v>675263.52</v>
      </c>
      <c r="P11" s="23" t="n">
        <v>357586.32</v>
      </c>
      <c r="Q11" s="23" t="n">
        <v>459697.68</v>
      </c>
      <c r="R11" s="23" t="n">
        <v>345643.44</v>
      </c>
      <c r="S11" s="23" t="n">
        <v>355448.4</v>
      </c>
      <c r="T11" s="23" t="n">
        <v>378650.4</v>
      </c>
      <c r="U11" s="23" t="n">
        <v>510251.52</v>
      </c>
      <c r="V11" s="23" t="n">
        <v>204060.24</v>
      </c>
      <c r="W11" s="23" t="n">
        <v>360135.6</v>
      </c>
      <c r="X11" s="23" t="n">
        <v>287325.36</v>
      </c>
      <c r="Y11" s="23" t="n">
        <v>395344.8</v>
      </c>
      <c r="Z11" s="23" t="n">
        <v>306190.56</v>
      </c>
      <c r="AA11" s="23" t="n">
        <v>465984.96</v>
      </c>
      <c r="AB11" s="23" t="n">
        <v>345251.76</v>
      </c>
      <c r="AC11" s="23" t="n">
        <v>9512255.52</v>
      </c>
    </row>
    <row r="12">
      <c r="A12" s="22" t="inlineStr">
        <is>
          <t>Examination Gloves, Latex (Pair)</t>
        </is>
      </c>
      <c r="B12" s="23" t="n">
        <v>268815</v>
      </c>
      <c r="C12" s="23" t="n">
        <v>317495</v>
      </c>
      <c r="D12" s="23" t="n">
        <v>194168</v>
      </c>
      <c r="E12" s="23" t="n">
        <v>250626</v>
      </c>
      <c r="F12" s="23" t="n">
        <v>231202</v>
      </c>
      <c r="G12" s="23" t="n">
        <v>342635</v>
      </c>
      <c r="H12" s="23" t="n">
        <v>478159</v>
      </c>
      <c r="I12" s="23" t="n">
        <v>362552</v>
      </c>
      <c r="J12" s="23" t="n">
        <v>310623</v>
      </c>
      <c r="K12" s="23" t="n">
        <v>198667</v>
      </c>
      <c r="L12" s="23" t="n">
        <v>312228</v>
      </c>
      <c r="M12" s="23" t="n">
        <v>322954</v>
      </c>
      <c r="N12" s="23" t="n">
        <v>355260</v>
      </c>
      <c r="O12" s="23" t="n">
        <v>567499</v>
      </c>
      <c r="P12" s="23" t="n">
        <v>322192</v>
      </c>
      <c r="Q12" s="23" t="n">
        <v>250665</v>
      </c>
      <c r="R12" s="23" t="n">
        <v>308208</v>
      </c>
      <c r="S12" s="23" t="n">
        <v>396992</v>
      </c>
      <c r="T12" s="23" t="n">
        <v>461504</v>
      </c>
      <c r="U12" s="23" t="n">
        <v>469670</v>
      </c>
      <c r="V12" s="23" t="n">
        <v>290668</v>
      </c>
      <c r="W12" s="23" t="n">
        <v>318150</v>
      </c>
      <c r="X12" s="23" t="n">
        <v>269340</v>
      </c>
      <c r="Y12" s="23" t="n">
        <v>384492</v>
      </c>
      <c r="Z12" s="23" t="n">
        <v>607964</v>
      </c>
      <c r="AA12" s="23" t="n">
        <v>314963</v>
      </c>
      <c r="AB12" s="23" t="n">
        <v>326783</v>
      </c>
      <c r="AC12" s="23" t="n">
        <v>9234474</v>
      </c>
    </row>
    <row r="13">
      <c r="A13" s="22" t="inlineStr">
        <is>
          <t>Ready-to-Use Supplementary Food (RUSF)</t>
        </is>
      </c>
      <c r="B13" s="23" t="n">
        <v>224352</v>
      </c>
      <c r="C13" s="23" t="n">
        <v>220936.5</v>
      </c>
      <c r="D13" s="23" t="n">
        <v>216415.5</v>
      </c>
      <c r="E13" s="23" t="n">
        <v>245601</v>
      </c>
      <c r="F13" s="23" t="n">
        <v>264312</v>
      </c>
      <c r="G13" s="23" t="n">
        <v>303474</v>
      </c>
      <c r="H13" s="23" t="n">
        <v>461466</v>
      </c>
      <c r="I13" s="23" t="n">
        <v>335799</v>
      </c>
      <c r="J13" s="23" t="n">
        <v>245745</v>
      </c>
      <c r="K13" s="23" t="n">
        <v>261840</v>
      </c>
      <c r="L13" s="23" t="n">
        <v>352054.5</v>
      </c>
      <c r="M13" s="23" t="n">
        <v>325617</v>
      </c>
      <c r="N13" s="23" t="n">
        <v>329311.5</v>
      </c>
      <c r="O13" s="23" t="n">
        <v>376027.5</v>
      </c>
      <c r="P13" s="23" t="n">
        <v>359995.5</v>
      </c>
      <c r="Q13" s="23" t="n">
        <v>374397</v>
      </c>
      <c r="R13" s="23" t="n">
        <v>363466.5</v>
      </c>
      <c r="S13" s="23" t="n">
        <v>356785.5</v>
      </c>
      <c r="T13" s="23" t="n">
        <v>450540</v>
      </c>
      <c r="U13" s="23" t="n">
        <v>533169</v>
      </c>
      <c r="V13" s="23" t="n">
        <v>246337.5</v>
      </c>
      <c r="W13" s="23" t="n">
        <v>301075.5</v>
      </c>
      <c r="X13" s="23" t="n">
        <v>224632.5</v>
      </c>
      <c r="Y13" s="23" t="n">
        <v>282990</v>
      </c>
      <c r="Z13" s="23" t="n">
        <v>392967</v>
      </c>
      <c r="AA13" s="23" t="n">
        <v>328903.5</v>
      </c>
      <c r="AB13" s="23" t="n">
        <v>252787.5</v>
      </c>
      <c r="AC13" s="23" t="n">
        <v>8630998.5</v>
      </c>
    </row>
    <row r="14">
      <c r="A14" s="22" t="inlineStr">
        <is>
          <t>Disposable Delivery Kit</t>
        </is>
      </c>
      <c r="B14" s="23" t="n">
        <v>101750.99</v>
      </c>
      <c r="C14" s="23" t="n">
        <v>121455.68</v>
      </c>
      <c r="D14" s="23" t="n">
        <v>258172.71</v>
      </c>
      <c r="E14" s="23" t="n">
        <v>202999.38</v>
      </c>
      <c r="F14" s="23" t="n">
        <v>204789.87</v>
      </c>
      <c r="G14" s="23" t="n">
        <v>158305.15</v>
      </c>
      <c r="H14" s="23" t="n">
        <v>323660.5</v>
      </c>
      <c r="I14" s="23" t="n">
        <v>300360.76</v>
      </c>
      <c r="J14" s="23" t="n">
        <v>227775.83</v>
      </c>
      <c r="K14" s="23" t="n">
        <v>254613.29</v>
      </c>
      <c r="L14" s="23" t="n">
        <v>244609.78</v>
      </c>
      <c r="M14" s="23" t="n">
        <v>258876.11</v>
      </c>
      <c r="N14" s="23" t="n">
        <v>402200.37</v>
      </c>
      <c r="O14" s="23" t="n">
        <v>551222.36</v>
      </c>
      <c r="P14" s="23" t="n">
        <v>514566.01</v>
      </c>
      <c r="Q14" s="23" t="n">
        <v>274879.26</v>
      </c>
      <c r="R14" s="23" t="n">
        <v>240472.8</v>
      </c>
      <c r="S14" s="23" t="n">
        <v>293141.22</v>
      </c>
      <c r="T14" s="23" t="n">
        <v>400764.69</v>
      </c>
      <c r="U14" s="23" t="n">
        <v>360622.33</v>
      </c>
      <c r="V14" s="23" t="n">
        <v>271607.81</v>
      </c>
      <c r="W14" s="23" t="n">
        <v>344228.09</v>
      </c>
      <c r="X14" s="23" t="n">
        <v>288567.75</v>
      </c>
      <c r="Y14" s="23" t="n">
        <v>289776.06</v>
      </c>
      <c r="Z14" s="23" t="n">
        <v>359184.92</v>
      </c>
      <c r="AA14" s="23" t="n">
        <v>379276.62</v>
      </c>
      <c r="AB14" s="23" t="n">
        <v>507356.17</v>
      </c>
      <c r="AC14" s="23" t="n">
        <v>8135236.51</v>
      </c>
    </row>
    <row r="15">
      <c r="A15" s="22" t="inlineStr">
        <is>
          <t>Multiple Micronutrient Powder</t>
        </is>
      </c>
      <c r="B15" s="23" t="n">
        <v>273784.5</v>
      </c>
      <c r="C15" s="23" t="n">
        <v>84352.2</v>
      </c>
      <c r="D15" s="23" t="n">
        <v>287058.6</v>
      </c>
      <c r="E15" s="23" t="n">
        <v>273465.9</v>
      </c>
      <c r="F15" s="23" t="n">
        <v>254387.7</v>
      </c>
      <c r="G15" s="23" t="n">
        <v>134393.4</v>
      </c>
      <c r="H15" s="23" t="n">
        <v>355261.2</v>
      </c>
      <c r="I15" s="23" t="n">
        <v>293651.1</v>
      </c>
      <c r="J15" s="23" t="n">
        <v>241673.1</v>
      </c>
      <c r="K15" s="23" t="n">
        <v>286574.4</v>
      </c>
      <c r="L15" s="23" t="n">
        <v>173581.8</v>
      </c>
      <c r="M15" s="23" t="n">
        <v>226303.8</v>
      </c>
      <c r="N15" s="23" t="n">
        <v>415158</v>
      </c>
      <c r="O15" s="23" t="n">
        <v>454663.8</v>
      </c>
      <c r="P15" s="23" t="n">
        <v>316125.9</v>
      </c>
      <c r="Q15" s="23" t="n">
        <v>166571.4</v>
      </c>
      <c r="R15" s="23" t="n">
        <v>260975.4</v>
      </c>
      <c r="S15" s="23" t="n">
        <v>389945.7</v>
      </c>
      <c r="T15" s="23" t="n">
        <v>409740.9</v>
      </c>
      <c r="U15" s="23" t="n">
        <v>373018.5</v>
      </c>
      <c r="V15" s="23" t="n">
        <v>310683.3</v>
      </c>
      <c r="W15" s="23" t="n">
        <v>197952.3</v>
      </c>
      <c r="X15" s="23" t="n">
        <v>214753.2</v>
      </c>
      <c r="Y15" s="23" t="n">
        <v>278130.3</v>
      </c>
      <c r="Z15" s="23" t="n">
        <v>437710.5</v>
      </c>
      <c r="AA15" s="23" t="n">
        <v>369924</v>
      </c>
      <c r="AB15" s="23" t="n">
        <v>426763.2</v>
      </c>
      <c r="AC15" s="23" t="n">
        <v>7906604.1</v>
      </c>
    </row>
    <row r="16">
      <c r="A16" s="22" t="inlineStr">
        <is>
          <t>Tenofovir + Emtricitabine 300/200 mg</t>
        </is>
      </c>
      <c r="B16" s="23" t="n">
        <v>279402.6</v>
      </c>
      <c r="C16" s="23" t="n">
        <v>273089.1</v>
      </c>
      <c r="D16" s="23" t="n">
        <v>187048.2</v>
      </c>
      <c r="E16" s="23" t="n">
        <v>218691</v>
      </c>
      <c r="F16" s="23" t="n">
        <v>187166.4</v>
      </c>
      <c r="G16" s="23" t="n">
        <v>137032.8</v>
      </c>
      <c r="H16" s="23" t="n">
        <v>274959.3</v>
      </c>
      <c r="I16" s="23" t="n">
        <v>303181.8</v>
      </c>
      <c r="J16" s="23" t="n">
        <v>252396.9</v>
      </c>
      <c r="K16" s="23" t="n">
        <v>226679.1</v>
      </c>
      <c r="L16" s="23" t="n">
        <v>279189.3</v>
      </c>
      <c r="M16" s="23" t="n">
        <v>199592.4</v>
      </c>
      <c r="N16" s="23" t="n">
        <v>312911.1</v>
      </c>
      <c r="O16" s="23" t="n">
        <v>375743.1</v>
      </c>
      <c r="P16" s="23" t="n">
        <v>404290.5</v>
      </c>
      <c r="Q16" s="23" t="n">
        <v>264172.5</v>
      </c>
      <c r="R16" s="23" t="n">
        <v>291570</v>
      </c>
      <c r="S16" s="23" t="n">
        <v>331394.1</v>
      </c>
      <c r="T16" s="23" t="n">
        <v>372818.1</v>
      </c>
      <c r="U16" s="23" t="n">
        <v>276507.6</v>
      </c>
      <c r="V16" s="23" t="n">
        <v>235937.1</v>
      </c>
      <c r="W16" s="23" t="n">
        <v>211985.4</v>
      </c>
      <c r="X16" s="23" t="n">
        <v>213953.1</v>
      </c>
      <c r="Y16" s="23" t="n">
        <v>215403</v>
      </c>
      <c r="Z16" s="23" t="n">
        <v>221007.9</v>
      </c>
      <c r="AA16" s="23" t="n">
        <v>317420.4</v>
      </c>
      <c r="AB16" s="23" t="n">
        <v>190621.5</v>
      </c>
      <c r="AC16" s="23" t="n">
        <v>7054164.3</v>
      </c>
    </row>
    <row r="17">
      <c r="A17" s="22" t="inlineStr">
        <is>
          <t>Disposable Syringe 10 ml with Needle</t>
        </is>
      </c>
      <c r="B17" s="23" t="n">
        <v>133838</v>
      </c>
      <c r="C17" s="23" t="n">
        <v>149439</v>
      </c>
      <c r="D17" s="23" t="n">
        <v>157067</v>
      </c>
      <c r="E17" s="23" t="n">
        <v>211924</v>
      </c>
      <c r="F17" s="23" t="n">
        <v>128603</v>
      </c>
      <c r="G17" s="23" t="n">
        <v>221261</v>
      </c>
      <c r="H17" s="23" t="n">
        <v>216971</v>
      </c>
      <c r="I17" s="23" t="n">
        <v>293948</v>
      </c>
      <c r="J17" s="23" t="n">
        <v>173703</v>
      </c>
      <c r="K17" s="23" t="n">
        <v>127764</v>
      </c>
      <c r="L17" s="23" t="n">
        <v>226898</v>
      </c>
      <c r="M17" s="23" t="n">
        <v>193541</v>
      </c>
      <c r="N17" s="23" t="n">
        <v>272264</v>
      </c>
      <c r="O17" s="23" t="n">
        <v>405462</v>
      </c>
      <c r="P17" s="23" t="n">
        <v>290038</v>
      </c>
      <c r="Q17" s="23" t="n">
        <v>313342</v>
      </c>
      <c r="R17" s="23" t="n">
        <v>274564</v>
      </c>
      <c r="S17" s="23" t="n">
        <v>193590</v>
      </c>
      <c r="T17" s="23" t="n">
        <v>252298</v>
      </c>
      <c r="U17" s="23" t="n">
        <v>242166</v>
      </c>
      <c r="V17" s="23" t="n">
        <v>183945</v>
      </c>
      <c r="W17" s="23" t="n">
        <v>234030</v>
      </c>
      <c r="X17" s="23" t="n">
        <v>180936</v>
      </c>
      <c r="Y17" s="23" t="n">
        <v>218904</v>
      </c>
      <c r="Z17" s="23" t="n">
        <v>221737</v>
      </c>
      <c r="AA17" s="23" t="n">
        <v>314820</v>
      </c>
      <c r="AB17" s="23" t="n">
        <v>316999</v>
      </c>
      <c r="AC17" s="23" t="n">
        <v>6150052</v>
      </c>
    </row>
    <row r="18">
      <c r="A18" s="22" t="inlineStr">
        <is>
          <t>Rapid Diagnostic Test - Malaria</t>
        </is>
      </c>
      <c r="B18" s="23" t="n">
        <v>155724.25</v>
      </c>
      <c r="C18" s="23" t="n">
        <v>255527.5</v>
      </c>
      <c r="D18" s="23" t="n">
        <v>175930</v>
      </c>
      <c r="E18" s="23" t="n">
        <v>183306.75</v>
      </c>
      <c r="F18" s="23" t="n">
        <v>158344.5</v>
      </c>
      <c r="G18" s="23" t="n">
        <v>159467.5</v>
      </c>
      <c r="H18" s="23" t="n">
        <v>322660.25</v>
      </c>
      <c r="I18" s="23" t="n">
        <v>204622</v>
      </c>
      <c r="J18" s="23" t="n">
        <v>177288.75</v>
      </c>
      <c r="K18" s="23" t="n">
        <v>198034.25</v>
      </c>
      <c r="L18" s="23" t="n">
        <v>130093.25</v>
      </c>
      <c r="M18" s="23" t="n">
        <v>235026</v>
      </c>
      <c r="N18" s="23" t="n">
        <v>134032.25</v>
      </c>
      <c r="O18" s="23" t="n">
        <v>266368</v>
      </c>
      <c r="P18" s="23" t="n">
        <v>258418.5</v>
      </c>
      <c r="Q18" s="23" t="n">
        <v>220605.25</v>
      </c>
      <c r="R18" s="23" t="n">
        <v>221200.75</v>
      </c>
      <c r="S18" s="23" t="n">
        <v>241888.75</v>
      </c>
      <c r="T18" s="23" t="n">
        <v>259344.75</v>
      </c>
      <c r="U18" s="23" t="n">
        <v>220027.25</v>
      </c>
      <c r="V18" s="23" t="n">
        <v>120328</v>
      </c>
      <c r="W18" s="23" t="n">
        <v>213792.25</v>
      </c>
      <c r="X18" s="23" t="n">
        <v>115032.5</v>
      </c>
      <c r="Y18" s="23" t="n">
        <v>163665.75</v>
      </c>
      <c r="Z18" s="23" t="n">
        <v>248234.25</v>
      </c>
      <c r="AA18" s="23" t="n">
        <v>148625.75</v>
      </c>
      <c r="AB18" s="23" t="n">
        <v>264492.75</v>
      </c>
      <c r="AC18" s="23" t="n">
        <v>5452081.75</v>
      </c>
    </row>
    <row r="19">
      <c r="A19" s="22" t="inlineStr">
        <is>
          <t>Insulin Regular 100 IU/ml</t>
        </is>
      </c>
      <c r="B19" s="23" t="n">
        <v>167523.65</v>
      </c>
      <c r="C19" s="23" t="n">
        <v>193540</v>
      </c>
      <c r="D19" s="23" t="n">
        <v>202117.04</v>
      </c>
      <c r="E19" s="23" t="n">
        <v>160168.89</v>
      </c>
      <c r="F19" s="23" t="n">
        <v>160163.54</v>
      </c>
      <c r="G19" s="23" t="n">
        <v>75481.67999999999</v>
      </c>
      <c r="H19" s="23" t="n">
        <v>192499.78</v>
      </c>
      <c r="I19" s="23" t="n">
        <v>181313.46</v>
      </c>
      <c r="J19" s="23" t="n">
        <v>176776.15</v>
      </c>
      <c r="K19" s="23" t="n">
        <v>173957.14</v>
      </c>
      <c r="L19" s="23" t="n">
        <v>171292.36</v>
      </c>
      <c r="M19" s="23" t="n">
        <v>175377.53</v>
      </c>
      <c r="N19" s="23" t="n">
        <v>238982.14</v>
      </c>
      <c r="O19" s="23" t="n">
        <v>296840.87</v>
      </c>
      <c r="P19" s="23" t="n">
        <v>360333.73</v>
      </c>
      <c r="Q19" s="23" t="n">
        <v>256591.01</v>
      </c>
      <c r="R19" s="23" t="n">
        <v>223865.88</v>
      </c>
      <c r="S19" s="23" t="n">
        <v>210352.63</v>
      </c>
      <c r="T19" s="23" t="n">
        <v>257038.45</v>
      </c>
      <c r="U19" s="23" t="n">
        <v>241290.84</v>
      </c>
      <c r="V19" s="23" t="n">
        <v>131346.15</v>
      </c>
      <c r="W19" s="23" t="n">
        <v>161525.05</v>
      </c>
      <c r="X19" s="23" t="n">
        <v>156816.17</v>
      </c>
      <c r="Y19" s="23" t="n">
        <v>178227.9</v>
      </c>
      <c r="Z19" s="23" t="n">
        <v>173816.19</v>
      </c>
      <c r="AA19" s="23" t="n">
        <v>260490.14</v>
      </c>
      <c r="AB19" s="23" t="n">
        <v>205210.01</v>
      </c>
      <c r="AC19" s="23" t="n">
        <v>5382938.38</v>
      </c>
    </row>
    <row r="20">
      <c r="A20" s="22" t="inlineStr">
        <is>
          <t>Gauze Piece Sterile 10x10 cm</t>
        </is>
      </c>
      <c r="B20" s="23" t="n">
        <v>88756</v>
      </c>
      <c r="C20" s="23" t="n">
        <v>175850</v>
      </c>
      <c r="D20" s="23" t="n">
        <v>177855</v>
      </c>
      <c r="E20" s="23" t="n">
        <v>169339</v>
      </c>
      <c r="F20" s="23" t="n">
        <v>119811</v>
      </c>
      <c r="G20" s="23" t="n">
        <v>166766</v>
      </c>
      <c r="H20" s="23" t="n">
        <v>170665</v>
      </c>
      <c r="I20" s="23" t="n">
        <v>239985</v>
      </c>
      <c r="J20" s="23" t="n">
        <v>152892</v>
      </c>
      <c r="K20" s="23" t="n">
        <v>153145</v>
      </c>
      <c r="L20" s="23" t="n">
        <v>149052</v>
      </c>
      <c r="M20" s="23" t="n">
        <v>180750</v>
      </c>
      <c r="N20" s="23" t="n">
        <v>224783</v>
      </c>
      <c r="O20" s="23" t="n">
        <v>411617</v>
      </c>
      <c r="P20" s="23" t="n">
        <v>211463</v>
      </c>
      <c r="Q20" s="23" t="n">
        <v>195057</v>
      </c>
      <c r="R20" s="23" t="n">
        <v>154238</v>
      </c>
      <c r="S20" s="23" t="n">
        <v>250580</v>
      </c>
      <c r="T20" s="23" t="n">
        <v>135866</v>
      </c>
      <c r="U20" s="23" t="n">
        <v>284216</v>
      </c>
      <c r="V20" s="23" t="n">
        <v>184274</v>
      </c>
      <c r="W20" s="23" t="n">
        <v>186560</v>
      </c>
      <c r="X20" s="23" t="n">
        <v>228613</v>
      </c>
      <c r="Y20" s="23" t="n">
        <v>212166</v>
      </c>
      <c r="Z20" s="23" t="n">
        <v>280351</v>
      </c>
      <c r="AA20" s="23" t="n">
        <v>163253</v>
      </c>
      <c r="AB20" s="23" t="n">
        <v>99053</v>
      </c>
      <c r="AC20" s="23" t="n">
        <v>5166956</v>
      </c>
    </row>
  </sheetData>
  <mergeCells count="1">
    <mergeCell ref="A2:L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A7F8F"/>
    <outlinePr summaryBelow="1" summaryRight="1"/>
    <pageSetUpPr/>
  </sheetPr>
  <dimension ref="A1:AC12"/>
  <sheetViews>
    <sheetView showGridLines="0" zoomScale="9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6" customWidth="1" min="29" max="29"/>
  </cols>
  <sheetData>
    <row r="1">
      <c r="A1" s="1" t="inlineStr">
        <is>
          <t>Consumption by Category and Month</t>
        </is>
      </c>
    </row>
    <row r="2">
      <c r="A2" s="2" t="inlineStr">
        <is>
          <t>Values in PKR. Inter-store transfers are excluded.</t>
        </is>
      </c>
    </row>
    <row r="3" ht="6" customHeight="1"/>
    <row r="5" ht="34" customHeight="1">
      <c r="A5" s="11" t="inlineStr">
        <is>
          <t>Category</t>
        </is>
      </c>
      <c r="B5" s="11" t="inlineStr">
        <is>
          <t>Jul-24</t>
        </is>
      </c>
      <c r="C5" s="11" t="inlineStr">
        <is>
          <t>Aug-24</t>
        </is>
      </c>
      <c r="D5" s="11" t="inlineStr">
        <is>
          <t>Sep-24</t>
        </is>
      </c>
      <c r="E5" s="11" t="inlineStr">
        <is>
          <t>Oct-24</t>
        </is>
      </c>
      <c r="F5" s="11" t="inlineStr">
        <is>
          <t>Nov-24</t>
        </is>
      </c>
      <c r="G5" s="11" t="inlineStr">
        <is>
          <t>Dec-24</t>
        </is>
      </c>
      <c r="H5" s="11" t="inlineStr">
        <is>
          <t>Jan-25</t>
        </is>
      </c>
      <c r="I5" s="11" t="inlineStr">
        <is>
          <t>Feb-25</t>
        </is>
      </c>
      <c r="J5" s="11" t="inlineStr">
        <is>
          <t>Mar-25</t>
        </is>
      </c>
      <c r="K5" s="11" t="inlineStr">
        <is>
          <t>Apr-25</t>
        </is>
      </c>
      <c r="L5" s="11" t="inlineStr">
        <is>
          <t>May-25</t>
        </is>
      </c>
      <c r="M5" s="11" t="inlineStr">
        <is>
          <t>Jun-25</t>
        </is>
      </c>
      <c r="N5" s="11" t="inlineStr">
        <is>
          <t>Jul-25</t>
        </is>
      </c>
      <c r="O5" s="11" t="inlineStr">
        <is>
          <t>Aug-25</t>
        </is>
      </c>
      <c r="P5" s="11" t="inlineStr">
        <is>
          <t>Sep-25</t>
        </is>
      </c>
      <c r="Q5" s="11" t="inlineStr">
        <is>
          <t>Oct-25</t>
        </is>
      </c>
      <c r="R5" s="11" t="inlineStr">
        <is>
          <t>Nov-25</t>
        </is>
      </c>
      <c r="S5" s="11" t="inlineStr">
        <is>
          <t>Dec-25</t>
        </is>
      </c>
      <c r="T5" s="11" t="inlineStr">
        <is>
          <t>Jan-26</t>
        </is>
      </c>
      <c r="U5" s="11" t="inlineStr">
        <is>
          <t>Feb-26</t>
        </is>
      </c>
      <c r="V5" s="11" t="inlineStr">
        <is>
          <t>Mar-26</t>
        </is>
      </c>
      <c r="W5" s="11" t="inlineStr">
        <is>
          <t>Apr-26</t>
        </is>
      </c>
      <c r="X5" s="11" t="inlineStr">
        <is>
          <t>May-26</t>
        </is>
      </c>
      <c r="Y5" s="11" t="inlineStr">
        <is>
          <t>Jun-26</t>
        </is>
      </c>
      <c r="Z5" s="11" t="inlineStr">
        <is>
          <t>Jul-26</t>
        </is>
      </c>
      <c r="AA5" s="11" t="inlineStr">
        <is>
          <t>Aug-26</t>
        </is>
      </c>
      <c r="AB5" s="11" t="inlineStr">
        <is>
          <t>Sep-26</t>
        </is>
      </c>
      <c r="AC5" s="11" t="inlineStr">
        <is>
          <t>Total</t>
        </is>
      </c>
    </row>
    <row r="6">
      <c r="A6" s="22" t="inlineStr">
        <is>
          <t>Medicines</t>
        </is>
      </c>
      <c r="B6" s="23" t="n">
        <v>2228052.86</v>
      </c>
      <c r="C6" s="23" t="n">
        <v>2913065.37</v>
      </c>
      <c r="D6" s="23" t="n">
        <v>2764060.18</v>
      </c>
      <c r="E6" s="23" t="n">
        <v>3015330.82</v>
      </c>
      <c r="F6" s="23" t="n">
        <v>2429016.7</v>
      </c>
      <c r="G6" s="23" t="n">
        <v>2497057.6</v>
      </c>
      <c r="H6" s="23" t="n">
        <v>4214637.25</v>
      </c>
      <c r="I6" s="23" t="n">
        <v>3642216.48</v>
      </c>
      <c r="J6" s="23" t="n">
        <v>2943591.4</v>
      </c>
      <c r="K6" s="23" t="n">
        <v>3068780.87</v>
      </c>
      <c r="L6" s="23" t="n">
        <v>2917067.78</v>
      </c>
      <c r="M6" s="23" t="n">
        <v>3083975.87</v>
      </c>
      <c r="N6" s="23" t="n">
        <v>3468502.6</v>
      </c>
      <c r="O6" s="23" t="n">
        <v>5249664.63</v>
      </c>
      <c r="P6" s="23" t="n">
        <v>5046673.29</v>
      </c>
      <c r="Q6" s="23" t="n">
        <v>3622658.71</v>
      </c>
      <c r="R6" s="23" t="n">
        <v>2921444.58</v>
      </c>
      <c r="S6" s="23" t="n">
        <v>3655818.05</v>
      </c>
      <c r="T6" s="23" t="n">
        <v>3833717.45</v>
      </c>
      <c r="U6" s="23" t="n">
        <v>3450876.67</v>
      </c>
      <c r="V6" s="23" t="n">
        <v>2416456.21</v>
      </c>
      <c r="W6" s="23" t="n">
        <v>2784875.63</v>
      </c>
      <c r="X6" s="23" t="n">
        <v>2754911.17</v>
      </c>
      <c r="Y6" s="23" t="n">
        <v>2932068.29</v>
      </c>
      <c r="Z6" s="23" t="n">
        <v>3724183.12</v>
      </c>
      <c r="AA6" s="23" t="n">
        <v>3840291.33</v>
      </c>
      <c r="AB6" s="23" t="n">
        <v>3510776.02</v>
      </c>
      <c r="AC6" s="23" t="n">
        <v>88929770.93000001</v>
      </c>
    </row>
    <row r="7">
      <c r="A7" s="22" t="inlineStr">
        <is>
          <t>Medical Consumables</t>
        </is>
      </c>
      <c r="B7" s="23" t="n">
        <v>1764801.25</v>
      </c>
      <c r="C7" s="23" t="n">
        <v>1933666.31</v>
      </c>
      <c r="D7" s="23" t="n">
        <v>1943118.22</v>
      </c>
      <c r="E7" s="23" t="n">
        <v>1980281.37</v>
      </c>
      <c r="F7" s="23" t="n">
        <v>1731500.86</v>
      </c>
      <c r="G7" s="23" t="n">
        <v>2041663.95</v>
      </c>
      <c r="H7" s="23" t="n">
        <v>2996001.85</v>
      </c>
      <c r="I7" s="23" t="n">
        <v>2922432.16</v>
      </c>
      <c r="J7" s="23" t="n">
        <v>2255942.31</v>
      </c>
      <c r="K7" s="23" t="n">
        <v>2032857.23</v>
      </c>
      <c r="L7" s="23" t="n">
        <v>2085235.58</v>
      </c>
      <c r="M7" s="23" t="n">
        <v>2408381.12</v>
      </c>
      <c r="N7" s="23" t="n">
        <v>3087011.33</v>
      </c>
      <c r="O7" s="23" t="n">
        <v>4353816.61</v>
      </c>
      <c r="P7" s="23" t="n">
        <v>3726348.8</v>
      </c>
      <c r="Q7" s="23" t="n">
        <v>2571945.91</v>
      </c>
      <c r="R7" s="23" t="n">
        <v>2460884.48</v>
      </c>
      <c r="S7" s="23" t="n">
        <v>2888320.97</v>
      </c>
      <c r="T7" s="23" t="n">
        <v>3037945.62</v>
      </c>
      <c r="U7" s="23" t="n">
        <v>3077135.71</v>
      </c>
      <c r="V7" s="23" t="n">
        <v>2112927.25</v>
      </c>
      <c r="W7" s="23" t="n">
        <v>2510018.98</v>
      </c>
      <c r="X7" s="23" t="n">
        <v>2306832.77</v>
      </c>
      <c r="Y7" s="23" t="n">
        <v>2679167.69</v>
      </c>
      <c r="Z7" s="23" t="n">
        <v>3522552.88</v>
      </c>
      <c r="AA7" s="23" t="n">
        <v>3258169.76</v>
      </c>
      <c r="AB7" s="23" t="n">
        <v>2990010.26</v>
      </c>
      <c r="AC7" s="23" t="n">
        <v>70678971.23</v>
      </c>
    </row>
    <row r="8">
      <c r="A8" s="22" t="inlineStr">
        <is>
          <t>Nutrition</t>
        </is>
      </c>
      <c r="B8" s="23" t="n">
        <v>1739644.54</v>
      </c>
      <c r="C8" s="23" t="n">
        <v>1955188.94</v>
      </c>
      <c r="D8" s="23" t="n">
        <v>2244103.58</v>
      </c>
      <c r="E8" s="23" t="n">
        <v>2180857.18</v>
      </c>
      <c r="F8" s="23" t="n">
        <v>2061771.32</v>
      </c>
      <c r="G8" s="23" t="n">
        <v>1840089.64</v>
      </c>
      <c r="H8" s="23" t="n">
        <v>3516227.72</v>
      </c>
      <c r="I8" s="23" t="n">
        <v>2634040.54</v>
      </c>
      <c r="J8" s="23" t="n">
        <v>2255386.18</v>
      </c>
      <c r="K8" s="23" t="n">
        <v>2305181.12</v>
      </c>
      <c r="L8" s="23" t="n">
        <v>2130406.8</v>
      </c>
      <c r="M8" s="23" t="n">
        <v>2154386.22</v>
      </c>
      <c r="N8" s="23" t="n">
        <v>2805595.76</v>
      </c>
      <c r="O8" s="23" t="n">
        <v>3407757.86</v>
      </c>
      <c r="P8" s="23" t="n">
        <v>3475419.84</v>
      </c>
      <c r="Q8" s="23" t="n">
        <v>2871128.6</v>
      </c>
      <c r="R8" s="23" t="n">
        <v>2610043.82</v>
      </c>
      <c r="S8" s="23" t="n">
        <v>2909462.56</v>
      </c>
      <c r="T8" s="23" t="n">
        <v>3310795.56</v>
      </c>
      <c r="U8" s="23" t="n">
        <v>3387846.02</v>
      </c>
      <c r="V8" s="23" t="n">
        <v>1990920.32</v>
      </c>
      <c r="W8" s="23" t="n">
        <v>2300225.5</v>
      </c>
      <c r="X8" s="23" t="n">
        <v>1943776.98</v>
      </c>
      <c r="Y8" s="23" t="n">
        <v>2051795.1</v>
      </c>
      <c r="Z8" s="23" t="n">
        <v>2961399.12</v>
      </c>
      <c r="AA8" s="23" t="n">
        <v>3185237.02</v>
      </c>
      <c r="AB8" s="23" t="n">
        <v>3141212.54</v>
      </c>
      <c r="AC8" s="23" t="n">
        <v>69369900.38</v>
      </c>
    </row>
    <row r="9">
      <c r="A9" s="22" t="inlineStr">
        <is>
          <t>Laboratory</t>
        </is>
      </c>
      <c r="B9" s="23" t="n">
        <v>752113.55</v>
      </c>
      <c r="C9" s="23" t="n">
        <v>861220.17</v>
      </c>
      <c r="D9" s="23" t="n">
        <v>785187.91</v>
      </c>
      <c r="E9" s="23" t="n">
        <v>745195.4</v>
      </c>
      <c r="F9" s="23" t="n">
        <v>648921.84</v>
      </c>
      <c r="G9" s="23" t="n">
        <v>674585.7</v>
      </c>
      <c r="H9" s="23" t="n">
        <v>1042016.11</v>
      </c>
      <c r="I9" s="23" t="n">
        <v>889888.77</v>
      </c>
      <c r="J9" s="23" t="n">
        <v>760149.85</v>
      </c>
      <c r="K9" s="23" t="n">
        <v>751394.3</v>
      </c>
      <c r="L9" s="23" t="n">
        <v>670403.39</v>
      </c>
      <c r="M9" s="23" t="n">
        <v>741725.97</v>
      </c>
      <c r="N9" s="23" t="n">
        <v>752998.1899999999</v>
      </c>
      <c r="O9" s="23" t="n">
        <v>1161896.48</v>
      </c>
      <c r="P9" s="23" t="n">
        <v>1209130.52</v>
      </c>
      <c r="Q9" s="23" t="n">
        <v>760557.78</v>
      </c>
      <c r="R9" s="23" t="n">
        <v>669847.0699999999</v>
      </c>
      <c r="S9" s="23" t="n">
        <v>872213.38</v>
      </c>
      <c r="T9" s="23" t="n">
        <v>863770.88</v>
      </c>
      <c r="U9" s="23" t="n">
        <v>851146.74</v>
      </c>
      <c r="V9" s="23" t="n">
        <v>497683.86</v>
      </c>
      <c r="W9" s="23" t="n">
        <v>719160.4</v>
      </c>
      <c r="X9" s="23" t="n">
        <v>566215.23</v>
      </c>
      <c r="Y9" s="23" t="n">
        <v>699845.45</v>
      </c>
      <c r="Z9" s="23" t="n">
        <v>846956.58</v>
      </c>
      <c r="AA9" s="23" t="n">
        <v>637025.8100000001</v>
      </c>
      <c r="AB9" s="23" t="n">
        <v>995935.8100000001</v>
      </c>
      <c r="AC9" s="23" t="n">
        <v>21427187.14</v>
      </c>
    </row>
    <row r="10">
      <c r="A10" s="22" t="inlineStr">
        <is>
          <t>General Items</t>
        </is>
      </c>
      <c r="B10" s="23" t="n">
        <v>364558.89</v>
      </c>
      <c r="C10" s="23" t="n">
        <v>290570.87</v>
      </c>
      <c r="D10" s="23" t="n">
        <v>269648.09</v>
      </c>
      <c r="E10" s="23" t="n">
        <v>402001.32</v>
      </c>
      <c r="F10" s="23" t="n">
        <v>353209.28</v>
      </c>
      <c r="G10" s="23" t="n">
        <v>354459.62</v>
      </c>
      <c r="H10" s="23" t="n">
        <v>457394.92</v>
      </c>
      <c r="I10" s="23" t="n">
        <v>377166.81</v>
      </c>
      <c r="J10" s="23" t="n">
        <v>447805.4</v>
      </c>
      <c r="K10" s="23" t="n">
        <v>474003.69</v>
      </c>
      <c r="L10" s="23" t="n">
        <v>419467.51</v>
      </c>
      <c r="M10" s="23" t="n">
        <v>440920.13</v>
      </c>
      <c r="N10" s="23" t="n">
        <v>372245.26</v>
      </c>
      <c r="O10" s="23" t="n">
        <v>558397.62</v>
      </c>
      <c r="P10" s="23" t="n">
        <v>555902.49</v>
      </c>
      <c r="Q10" s="23" t="n">
        <v>408189.36</v>
      </c>
      <c r="R10" s="23" t="n">
        <v>469473.56</v>
      </c>
      <c r="S10" s="23" t="n">
        <v>478347.04</v>
      </c>
      <c r="T10" s="23" t="n">
        <v>458280.51</v>
      </c>
      <c r="U10" s="23" t="n">
        <v>370918.88</v>
      </c>
      <c r="V10" s="23" t="n">
        <v>313739.91</v>
      </c>
      <c r="W10" s="23" t="n">
        <v>399529.73</v>
      </c>
      <c r="X10" s="23" t="n">
        <v>447315.36</v>
      </c>
      <c r="Y10" s="23" t="n">
        <v>446565.42</v>
      </c>
      <c r="Z10" s="23" t="n">
        <v>425179.8</v>
      </c>
      <c r="AA10" s="23" t="n">
        <v>364549.75</v>
      </c>
      <c r="AB10" s="23" t="n">
        <v>358114.71</v>
      </c>
      <c r="AC10" s="23" t="n">
        <v>11077955.93</v>
      </c>
    </row>
    <row r="11">
      <c r="A11" s="22" t="inlineStr">
        <is>
          <t>Equipment</t>
        </is>
      </c>
      <c r="B11" s="23" t="n">
        <v>12766.82</v>
      </c>
      <c r="C11" s="23" t="n"/>
      <c r="D11" s="23" t="n"/>
      <c r="E11" s="23" t="n"/>
      <c r="F11" s="23" t="n"/>
      <c r="G11" s="23" t="n"/>
      <c r="H11" s="23" t="n">
        <v>1446.24</v>
      </c>
      <c r="I11" s="23" t="n">
        <v>33911.87</v>
      </c>
      <c r="J11" s="23" t="n">
        <v>1446.24</v>
      </c>
      <c r="K11" s="23" t="n"/>
      <c r="L11" s="23" t="n"/>
      <c r="M11" s="23" t="n">
        <v>15908.66</v>
      </c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>
        <v>18452.05</v>
      </c>
      <c r="X11" s="23" t="n">
        <v>1446.24</v>
      </c>
      <c r="Y11" s="23" t="n"/>
      <c r="Z11" s="23" t="n"/>
      <c r="AA11" s="23" t="n"/>
      <c r="AB11" s="23" t="n">
        <v>6782.37</v>
      </c>
      <c r="AC11" s="23" t="n">
        <v>92160.49000000001</v>
      </c>
    </row>
    <row r="12">
      <c r="A12" s="26" t="inlineStr">
        <is>
          <t>TOTAL</t>
        </is>
      </c>
      <c r="B12" s="27" t="n">
        <v>6861937.91</v>
      </c>
      <c r="C12" s="27" t="n">
        <v>7953711.66</v>
      </c>
      <c r="D12" s="27" t="n">
        <v>8006117.98</v>
      </c>
      <c r="E12" s="27" t="n">
        <v>8323666.09</v>
      </c>
      <c r="F12" s="27" t="n">
        <v>7224420</v>
      </c>
      <c r="G12" s="27" t="n">
        <v>7407856.51</v>
      </c>
      <c r="H12" s="27" t="n">
        <v>12227724.09</v>
      </c>
      <c r="I12" s="27" t="n">
        <v>10499656.63</v>
      </c>
      <c r="J12" s="27" t="n">
        <v>8664321.380000001</v>
      </c>
      <c r="K12" s="27" t="n">
        <v>8632217.210000001</v>
      </c>
      <c r="L12" s="27" t="n">
        <v>8222581.06</v>
      </c>
      <c r="M12" s="27" t="n">
        <v>8845297.970000001</v>
      </c>
      <c r="N12" s="27" t="n">
        <v>10486353.14</v>
      </c>
      <c r="O12" s="27" t="n">
        <v>14731533.2</v>
      </c>
      <c r="P12" s="27" t="n">
        <v>14013474.94</v>
      </c>
      <c r="Q12" s="27" t="n">
        <v>10234480.36</v>
      </c>
      <c r="R12" s="27" t="n">
        <v>9131693.51</v>
      </c>
      <c r="S12" s="27" t="n">
        <v>10804162</v>
      </c>
      <c r="T12" s="27" t="n">
        <v>11504510.02</v>
      </c>
      <c r="U12" s="27" t="n">
        <v>11137924.02</v>
      </c>
      <c r="V12" s="27" t="n">
        <v>7331727.55</v>
      </c>
      <c r="W12" s="27" t="n">
        <v>8732262.289999999</v>
      </c>
      <c r="X12" s="27" t="n">
        <v>8020497.75</v>
      </c>
      <c r="Y12" s="27" t="n">
        <v>8809441.949999999</v>
      </c>
      <c r="Z12" s="27" t="n">
        <v>11480271.5</v>
      </c>
      <c r="AA12" s="27" t="n">
        <v>11285273.67</v>
      </c>
      <c r="AB12" s="27" t="n">
        <v>11002831.71</v>
      </c>
      <c r="AC12" s="27" t="n">
        <v>261575946.1</v>
      </c>
    </row>
  </sheetData>
  <mergeCells count="1">
    <mergeCell ref="A2:L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45756"/>
    <outlinePr summaryBelow="1" summaryRight="1"/>
    <pageSetUpPr/>
  </sheetPr>
  <dimension ref="A1:I174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22" customWidth="1" min="4" max="4"/>
    <col width="16" customWidth="1" min="5" max="5"/>
    <col width="16" customWidth="1" min="6" max="6"/>
    <col width="16" customWidth="1" min="7" max="7"/>
    <col width="12" customWidth="1" min="8" max="8"/>
    <col width="14" customWidth="1" min="9" max="9"/>
  </cols>
  <sheetData>
    <row r="1">
      <c r="A1" s="1" t="inlineStr">
        <is>
          <t>Budget versus Consumption by Project, Fiscal Year and Category</t>
        </is>
      </c>
    </row>
    <row r="2">
      <c r="A2" s="2" t="inlineStr">
        <is>
          <t>Product-category budget only (medicines, consumables, laboratory, nutrition, equipment, general); HR and programme-operations lines excluded. Utilisation = consumption / budget.</t>
        </is>
      </c>
    </row>
    <row r="3" ht="6" customHeight="1"/>
    <row r="5" ht="30" customHeight="1">
      <c r="A5" s="11" t="inlineStr">
        <is>
          <t>Project ID</t>
        </is>
      </c>
      <c r="B5" s="11" t="inlineStr">
        <is>
          <t>Project</t>
        </is>
      </c>
      <c r="C5" s="11" t="inlineStr">
        <is>
          <t>Fiscal year</t>
        </is>
      </c>
      <c r="D5" s="11" t="inlineStr">
        <is>
          <t>Expense category</t>
        </is>
      </c>
      <c r="E5" s="11" t="inlineStr">
        <is>
          <t>Budget</t>
        </is>
      </c>
      <c r="F5" s="11" t="inlineStr">
        <is>
          <t>Consumption</t>
        </is>
      </c>
      <c r="G5" s="11" t="inlineStr">
        <is>
          <t>Variance</t>
        </is>
      </c>
      <c r="H5" s="11" t="inlineStr">
        <is>
          <t>Utilisation</t>
        </is>
      </c>
      <c r="I5" s="11" t="inlineStr">
        <is>
          <t>Flag</t>
        </is>
      </c>
    </row>
    <row r="6">
      <c r="A6" s="22" t="inlineStr">
        <is>
          <t>PRJ-001</t>
        </is>
      </c>
      <c r="B6" s="22" t="inlineStr">
        <is>
          <t>Maternal &amp; Child Health Programme - Korangi</t>
        </is>
      </c>
      <c r="C6" s="22" t="inlineStr">
        <is>
          <t>FY2024-25</t>
        </is>
      </c>
      <c r="D6" s="22" t="inlineStr">
        <is>
          <t>Equipment</t>
        </is>
      </c>
      <c r="E6" s="23" t="n">
        <v>2178000</v>
      </c>
      <c r="F6" s="23" t="n">
        <v>1446.24</v>
      </c>
      <c r="G6" s="23" t="n">
        <v>2176553.76</v>
      </c>
      <c r="H6" s="31" t="n">
        <v>0.0007</v>
      </c>
      <c r="I6" s="22" t="inlineStr">
        <is>
          <t>Within</t>
        </is>
      </c>
    </row>
    <row r="7">
      <c r="A7" s="22" t="inlineStr">
        <is>
          <t>PRJ-001</t>
        </is>
      </c>
      <c r="B7" s="22" t="inlineStr">
        <is>
          <t>Maternal &amp; Child Health Programme - Korangi</t>
        </is>
      </c>
      <c r="C7" s="22" t="inlineStr">
        <is>
          <t>FY2024-25</t>
        </is>
      </c>
      <c r="D7" s="22" t="inlineStr">
        <is>
          <t>General Items</t>
        </is>
      </c>
      <c r="E7" s="23" t="n">
        <v>1888000</v>
      </c>
      <c r="F7" s="23" t="n">
        <v>821682.28</v>
      </c>
      <c r="G7" s="23" t="n">
        <v>1066317.72</v>
      </c>
      <c r="H7" s="31" t="n">
        <v>0.4352</v>
      </c>
      <c r="I7" s="22" t="inlineStr">
        <is>
          <t>Within</t>
        </is>
      </c>
    </row>
    <row r="8">
      <c r="A8" s="22" t="inlineStr">
        <is>
          <t>PRJ-001</t>
        </is>
      </c>
      <c r="B8" s="22" t="inlineStr">
        <is>
          <t>Maternal &amp; Child Health Programme - Korangi</t>
        </is>
      </c>
      <c r="C8" s="22" t="inlineStr">
        <is>
          <t>FY2024-25</t>
        </is>
      </c>
      <c r="D8" s="22" t="inlineStr">
        <is>
          <t>Laboratory</t>
        </is>
      </c>
      <c r="E8" s="23" t="n">
        <v>1916000</v>
      </c>
      <c r="F8" s="23" t="n">
        <v>1596504.51</v>
      </c>
      <c r="G8" s="23" t="n">
        <v>319495.49</v>
      </c>
      <c r="H8" s="31" t="n">
        <v>0.8332000000000001</v>
      </c>
      <c r="I8" s="22" t="inlineStr">
        <is>
          <t>Within</t>
        </is>
      </c>
    </row>
    <row r="9">
      <c r="A9" s="22" t="inlineStr">
        <is>
          <t>PRJ-001</t>
        </is>
      </c>
      <c r="B9" s="22" t="inlineStr">
        <is>
          <t>Maternal &amp; Child Health Programme - Korangi</t>
        </is>
      </c>
      <c r="C9" s="22" t="inlineStr">
        <is>
          <t>FY2024-25</t>
        </is>
      </c>
      <c r="D9" s="22" t="inlineStr">
        <is>
          <t>Medical Consumables</t>
        </is>
      </c>
      <c r="E9" s="23" t="n">
        <v>5061000</v>
      </c>
      <c r="F9" s="23" t="n">
        <v>7980749.38</v>
      </c>
      <c r="G9" s="23" t="n">
        <v>-2919749.38</v>
      </c>
      <c r="H9" s="31" t="n">
        <v>1.5769</v>
      </c>
      <c r="I9" s="22" t="inlineStr">
        <is>
          <t>Over budget</t>
        </is>
      </c>
    </row>
    <row r="10">
      <c r="A10" s="22" t="inlineStr">
        <is>
          <t>PRJ-001</t>
        </is>
      </c>
      <c r="B10" s="22" t="inlineStr">
        <is>
          <t>Maternal &amp; Child Health Programme - Korangi</t>
        </is>
      </c>
      <c r="C10" s="22" t="inlineStr">
        <is>
          <t>FY2024-25</t>
        </is>
      </c>
      <c r="D10" s="22" t="inlineStr">
        <is>
          <t>Medicines</t>
        </is>
      </c>
      <c r="E10" s="23" t="n">
        <v>10537000</v>
      </c>
      <c r="F10" s="23" t="n">
        <v>8474520.310000001</v>
      </c>
      <c r="G10" s="23" t="n">
        <v>2062479.69</v>
      </c>
      <c r="H10" s="31" t="n">
        <v>0.8043</v>
      </c>
      <c r="I10" s="22" t="inlineStr">
        <is>
          <t>Within</t>
        </is>
      </c>
    </row>
    <row r="11">
      <c r="A11" s="22" t="inlineStr">
        <is>
          <t>PRJ-001</t>
        </is>
      </c>
      <c r="B11" s="22" t="inlineStr">
        <is>
          <t>Maternal &amp; Child Health Programme - Korangi</t>
        </is>
      </c>
      <c r="C11" s="22" t="inlineStr">
        <is>
          <t>FY2024-25</t>
        </is>
      </c>
      <c r="D11" s="22" t="inlineStr">
        <is>
          <t>Nutrition</t>
        </is>
      </c>
      <c r="E11" s="23" t="n">
        <v>5395000</v>
      </c>
      <c r="F11" s="23" t="n">
        <v>5108521.68</v>
      </c>
      <c r="G11" s="23" t="n">
        <v>286478.32</v>
      </c>
      <c r="H11" s="31" t="n">
        <v>0.9469</v>
      </c>
      <c r="I11" s="22" t="inlineStr">
        <is>
          <t>Watch</t>
        </is>
      </c>
    </row>
    <row r="12">
      <c r="A12" s="22" t="inlineStr">
        <is>
          <t>PRJ-001</t>
        </is>
      </c>
      <c r="B12" s="22" t="inlineStr">
        <is>
          <t>Maternal &amp; Child Health Programme - Korangi</t>
        </is>
      </c>
      <c r="C12" s="22" t="inlineStr">
        <is>
          <t>FY2025-26</t>
        </is>
      </c>
      <c r="D12" s="22" t="inlineStr">
        <is>
          <t>Equipment</t>
        </is>
      </c>
      <c r="E12" s="23" t="n">
        <v>2211000</v>
      </c>
      <c r="F12" s="23" t="n">
        <v>0</v>
      </c>
      <c r="G12" s="23" t="n">
        <v>2211000</v>
      </c>
      <c r="H12" s="31" t="n">
        <v>0</v>
      </c>
      <c r="I12" s="22" t="inlineStr">
        <is>
          <t>Within</t>
        </is>
      </c>
    </row>
    <row r="13">
      <c r="A13" s="22" t="inlineStr">
        <is>
          <t>PRJ-001</t>
        </is>
      </c>
      <c r="B13" s="22" t="inlineStr">
        <is>
          <t>Maternal &amp; Child Health Programme - Korangi</t>
        </is>
      </c>
      <c r="C13" s="22" t="inlineStr">
        <is>
          <t>FY2025-26</t>
        </is>
      </c>
      <c r="D13" s="22" t="inlineStr">
        <is>
          <t>General Items</t>
        </is>
      </c>
      <c r="E13" s="23" t="n">
        <v>1741000</v>
      </c>
      <c r="F13" s="23" t="n">
        <v>885745.9399999999</v>
      </c>
      <c r="G13" s="23" t="n">
        <v>855254.0600000001</v>
      </c>
      <c r="H13" s="31" t="n">
        <v>0.5088</v>
      </c>
      <c r="I13" s="22" t="inlineStr">
        <is>
          <t>Within</t>
        </is>
      </c>
    </row>
    <row r="14">
      <c r="A14" s="22" t="inlineStr">
        <is>
          <t>PRJ-001</t>
        </is>
      </c>
      <c r="B14" s="22" t="inlineStr">
        <is>
          <t>Maternal &amp; Child Health Programme - Korangi</t>
        </is>
      </c>
      <c r="C14" s="22" t="inlineStr">
        <is>
          <t>FY2025-26</t>
        </is>
      </c>
      <c r="D14" s="22" t="inlineStr">
        <is>
          <t>Laboratory</t>
        </is>
      </c>
      <c r="E14" s="23" t="n">
        <v>1707000</v>
      </c>
      <c r="F14" s="23" t="n">
        <v>1799328.64</v>
      </c>
      <c r="G14" s="23" t="n">
        <v>-92328.64</v>
      </c>
      <c r="H14" s="31" t="n">
        <v>1.0541</v>
      </c>
      <c r="I14" s="22" t="inlineStr">
        <is>
          <t>Over budget</t>
        </is>
      </c>
    </row>
    <row r="15">
      <c r="A15" s="22" t="inlineStr">
        <is>
          <t>PRJ-001</t>
        </is>
      </c>
      <c r="B15" s="22" t="inlineStr">
        <is>
          <t>Maternal &amp; Child Health Programme - Korangi</t>
        </is>
      </c>
      <c r="C15" s="22" t="inlineStr">
        <is>
          <t>FY2025-26</t>
        </is>
      </c>
      <c r="D15" s="22" t="inlineStr">
        <is>
          <t>Medical Consumables</t>
        </is>
      </c>
      <c r="E15" s="23" t="n">
        <v>4269000</v>
      </c>
      <c r="F15" s="23" t="n">
        <v>9859547.789999999</v>
      </c>
      <c r="G15" s="23" t="n">
        <v>-5590547.79</v>
      </c>
      <c r="H15" s="31" t="n">
        <v>2.3096</v>
      </c>
      <c r="I15" s="22" t="inlineStr">
        <is>
          <t>Over budget</t>
        </is>
      </c>
    </row>
    <row r="16">
      <c r="A16" s="22" t="inlineStr">
        <is>
          <t>PRJ-001</t>
        </is>
      </c>
      <c r="B16" s="22" t="inlineStr">
        <is>
          <t>Maternal &amp; Child Health Programme - Korangi</t>
        </is>
      </c>
      <c r="C16" s="22" t="inlineStr">
        <is>
          <t>FY2025-26</t>
        </is>
      </c>
      <c r="D16" s="22" t="inlineStr">
        <is>
          <t>Medicines</t>
        </is>
      </c>
      <c r="E16" s="23" t="n">
        <v>9939000</v>
      </c>
      <c r="F16" s="23" t="n">
        <v>9486166.65</v>
      </c>
      <c r="G16" s="23" t="n">
        <v>452833.35</v>
      </c>
      <c r="H16" s="31" t="n">
        <v>0.9544</v>
      </c>
      <c r="I16" s="22" t="inlineStr">
        <is>
          <t>Watch</t>
        </is>
      </c>
    </row>
    <row r="17">
      <c r="A17" s="22" t="inlineStr">
        <is>
          <t>PRJ-001</t>
        </is>
      </c>
      <c r="B17" s="22" t="inlineStr">
        <is>
          <t>Maternal &amp; Child Health Programme - Korangi</t>
        </is>
      </c>
      <c r="C17" s="22" t="inlineStr">
        <is>
          <t>FY2025-26</t>
        </is>
      </c>
      <c r="D17" s="22" t="inlineStr">
        <is>
          <t>Nutrition</t>
        </is>
      </c>
      <c r="E17" s="23" t="n">
        <v>5229000</v>
      </c>
      <c r="F17" s="23" t="n">
        <v>6100444.84</v>
      </c>
      <c r="G17" s="23" t="n">
        <v>-871444.84</v>
      </c>
      <c r="H17" s="31" t="n">
        <v>1.1667</v>
      </c>
      <c r="I17" s="22" t="inlineStr">
        <is>
          <t>Over budget</t>
        </is>
      </c>
    </row>
    <row r="18">
      <c r="A18" s="22" t="inlineStr">
        <is>
          <t>PRJ-001</t>
        </is>
      </c>
      <c r="B18" s="22" t="inlineStr">
        <is>
          <t>Maternal &amp; Child Health Programme - Korangi</t>
        </is>
      </c>
      <c r="C18" s="22" t="inlineStr">
        <is>
          <t>FY2026-27</t>
        </is>
      </c>
      <c r="D18" s="22" t="inlineStr">
        <is>
          <t>Equipment</t>
        </is>
      </c>
      <c r="E18" s="23" t="n">
        <v>1139000</v>
      </c>
      <c r="F18" s="23" t="n">
        <v>0</v>
      </c>
      <c r="G18" s="23" t="n">
        <v>1139000</v>
      </c>
      <c r="H18" s="31" t="n">
        <v>0</v>
      </c>
      <c r="I18" s="22" t="inlineStr">
        <is>
          <t>Within</t>
        </is>
      </c>
    </row>
    <row r="19">
      <c r="A19" s="22" t="inlineStr">
        <is>
          <t>PRJ-001</t>
        </is>
      </c>
      <c r="B19" s="22" t="inlineStr">
        <is>
          <t>Maternal &amp; Child Health Programme - Korangi</t>
        </is>
      </c>
      <c r="C19" s="22" t="inlineStr">
        <is>
          <t>FY2026-27</t>
        </is>
      </c>
      <c r="D19" s="22" t="inlineStr">
        <is>
          <t>General Items</t>
        </is>
      </c>
      <c r="E19" s="23" t="n">
        <v>998000</v>
      </c>
      <c r="F19" s="23" t="n">
        <v>284851.53</v>
      </c>
      <c r="G19" s="23" t="n">
        <v>713148.47</v>
      </c>
      <c r="H19" s="31" t="n">
        <v>0.2854</v>
      </c>
      <c r="I19" s="22" t="inlineStr">
        <is>
          <t>Within</t>
        </is>
      </c>
    </row>
    <row r="20">
      <c r="A20" s="22" t="inlineStr">
        <is>
          <t>PRJ-001</t>
        </is>
      </c>
      <c r="B20" s="22" t="inlineStr">
        <is>
          <t>Maternal &amp; Child Health Programme - Korangi</t>
        </is>
      </c>
      <c r="C20" s="22" t="inlineStr">
        <is>
          <t>FY2026-27</t>
        </is>
      </c>
      <c r="D20" s="22" t="inlineStr">
        <is>
          <t>Laboratory</t>
        </is>
      </c>
      <c r="E20" s="23" t="n">
        <v>988000</v>
      </c>
      <c r="F20" s="23" t="n">
        <v>582948.83</v>
      </c>
      <c r="G20" s="23" t="n">
        <v>405051.17</v>
      </c>
      <c r="H20" s="31" t="n">
        <v>0.59</v>
      </c>
      <c r="I20" s="22" t="inlineStr">
        <is>
          <t>Within</t>
        </is>
      </c>
    </row>
    <row r="21">
      <c r="A21" s="22" t="inlineStr">
        <is>
          <t>PRJ-001</t>
        </is>
      </c>
      <c r="B21" s="22" t="inlineStr">
        <is>
          <t>Maternal &amp; Child Health Programme - Korangi</t>
        </is>
      </c>
      <c r="C21" s="22" t="inlineStr">
        <is>
          <t>FY2026-27</t>
        </is>
      </c>
      <c r="D21" s="22" t="inlineStr">
        <is>
          <t>Medical Consumables</t>
        </is>
      </c>
      <c r="E21" s="23" t="n">
        <v>2359000</v>
      </c>
      <c r="F21" s="23" t="n">
        <v>3009911.41</v>
      </c>
      <c r="G21" s="23" t="n">
        <v>-650911.41</v>
      </c>
      <c r="H21" s="31" t="n">
        <v>1.2759</v>
      </c>
      <c r="I21" s="22" t="inlineStr">
        <is>
          <t>Over budget</t>
        </is>
      </c>
    </row>
    <row r="22">
      <c r="A22" s="22" t="inlineStr">
        <is>
          <t>PRJ-001</t>
        </is>
      </c>
      <c r="B22" s="22" t="inlineStr">
        <is>
          <t>Maternal &amp; Child Health Programme - Korangi</t>
        </is>
      </c>
      <c r="C22" s="22" t="inlineStr">
        <is>
          <t>FY2026-27</t>
        </is>
      </c>
      <c r="D22" s="22" t="inlineStr">
        <is>
          <t>Medicines</t>
        </is>
      </c>
      <c r="E22" s="23" t="n">
        <v>5372000</v>
      </c>
      <c r="F22" s="23" t="n">
        <v>2727760.64</v>
      </c>
      <c r="G22" s="23" t="n">
        <v>2644239.36</v>
      </c>
      <c r="H22" s="31" t="n">
        <v>0.5078</v>
      </c>
      <c r="I22" s="22" t="inlineStr">
        <is>
          <t>Within</t>
        </is>
      </c>
    </row>
    <row r="23">
      <c r="A23" s="22" t="inlineStr">
        <is>
          <t>PRJ-001</t>
        </is>
      </c>
      <c r="B23" s="22" t="inlineStr">
        <is>
          <t>Maternal &amp; Child Health Programme - Korangi</t>
        </is>
      </c>
      <c r="C23" s="22" t="inlineStr">
        <is>
          <t>FY2026-27</t>
        </is>
      </c>
      <c r="D23" s="22" t="inlineStr">
        <is>
          <t>Nutrition</t>
        </is>
      </c>
      <c r="E23" s="23" t="n">
        <v>2746000</v>
      </c>
      <c r="F23" s="23" t="n">
        <v>1895146.54</v>
      </c>
      <c r="G23" s="23" t="n">
        <v>850853.46</v>
      </c>
      <c r="H23" s="31" t="n">
        <v>0.6901</v>
      </c>
      <c r="I23" s="22" t="inlineStr">
        <is>
          <t>Within</t>
        </is>
      </c>
    </row>
    <row r="24">
      <c r="A24" s="22" t="inlineStr">
        <is>
          <t>PRJ-002</t>
        </is>
      </c>
      <c r="B24" s="22" t="inlineStr">
        <is>
          <t>Nutrition Stabilisation Centre - Malir</t>
        </is>
      </c>
      <c r="C24" s="22" t="inlineStr">
        <is>
          <t>FY2024-25</t>
        </is>
      </c>
      <c r="D24" s="22" t="inlineStr">
        <is>
          <t>Equipment</t>
        </is>
      </c>
      <c r="E24" s="23" t="n">
        <v>1551000</v>
      </c>
      <c r="F24" s="23" t="n">
        <v>0</v>
      </c>
      <c r="G24" s="23" t="n">
        <v>1551000</v>
      </c>
      <c r="H24" s="31" t="n">
        <v>0</v>
      </c>
      <c r="I24" s="22" t="inlineStr">
        <is>
          <t>Within</t>
        </is>
      </c>
    </row>
    <row r="25">
      <c r="A25" s="22" t="inlineStr">
        <is>
          <t>PRJ-002</t>
        </is>
      </c>
      <c r="B25" s="22" t="inlineStr">
        <is>
          <t>Nutrition Stabilisation Centre - Malir</t>
        </is>
      </c>
      <c r="C25" s="22" t="inlineStr">
        <is>
          <t>FY2024-25</t>
        </is>
      </c>
      <c r="D25" s="22" t="inlineStr">
        <is>
          <t>General Items</t>
        </is>
      </c>
      <c r="E25" s="23" t="n">
        <v>1261000</v>
      </c>
      <c r="F25" s="23" t="n">
        <v>501737.01</v>
      </c>
      <c r="G25" s="23" t="n">
        <v>759262.99</v>
      </c>
      <c r="H25" s="31" t="n">
        <v>0.3979</v>
      </c>
      <c r="I25" s="22" t="inlineStr">
        <is>
          <t>Within</t>
        </is>
      </c>
    </row>
    <row r="26">
      <c r="A26" s="22" t="inlineStr">
        <is>
          <t>PRJ-002</t>
        </is>
      </c>
      <c r="B26" s="22" t="inlineStr">
        <is>
          <t>Nutrition Stabilisation Centre - Malir</t>
        </is>
      </c>
      <c r="C26" s="22" t="inlineStr">
        <is>
          <t>FY2024-25</t>
        </is>
      </c>
      <c r="D26" s="22" t="inlineStr">
        <is>
          <t>Laboratory</t>
        </is>
      </c>
      <c r="E26" s="23" t="n">
        <v>1235000</v>
      </c>
      <c r="F26" s="23" t="n">
        <v>771295.4300000001</v>
      </c>
      <c r="G26" s="23" t="n">
        <v>463704.57</v>
      </c>
      <c r="H26" s="31" t="n">
        <v>0.6245000000000001</v>
      </c>
      <c r="I26" s="22" t="inlineStr">
        <is>
          <t>Within</t>
        </is>
      </c>
    </row>
    <row r="27">
      <c r="A27" s="22" t="inlineStr">
        <is>
          <t>PRJ-002</t>
        </is>
      </c>
      <c r="B27" s="22" t="inlineStr">
        <is>
          <t>Nutrition Stabilisation Centre - Malir</t>
        </is>
      </c>
      <c r="C27" s="22" t="inlineStr">
        <is>
          <t>FY2024-25</t>
        </is>
      </c>
      <c r="D27" s="22" t="inlineStr">
        <is>
          <t>Medical Consumables</t>
        </is>
      </c>
      <c r="E27" s="23" t="n">
        <v>3367000</v>
      </c>
      <c r="F27" s="23" t="n">
        <v>2943905.57</v>
      </c>
      <c r="G27" s="23" t="n">
        <v>423094.43</v>
      </c>
      <c r="H27" s="31" t="n">
        <v>0.8743</v>
      </c>
      <c r="I27" s="22" t="inlineStr">
        <is>
          <t>Watch</t>
        </is>
      </c>
    </row>
    <row r="28">
      <c r="A28" s="22" t="inlineStr">
        <is>
          <t>PRJ-002</t>
        </is>
      </c>
      <c r="B28" s="22" t="inlineStr">
        <is>
          <t>Nutrition Stabilisation Centre - Malir</t>
        </is>
      </c>
      <c r="C28" s="22" t="inlineStr">
        <is>
          <t>FY2024-25</t>
        </is>
      </c>
      <c r="D28" s="22" t="inlineStr">
        <is>
          <t>Medicines</t>
        </is>
      </c>
      <c r="E28" s="23" t="n">
        <v>7344000</v>
      </c>
      <c r="F28" s="23" t="n">
        <v>3311154.73</v>
      </c>
      <c r="G28" s="23" t="n">
        <v>4032845.27</v>
      </c>
      <c r="H28" s="31" t="n">
        <v>0.4509</v>
      </c>
      <c r="I28" s="22" t="inlineStr">
        <is>
          <t>Within</t>
        </is>
      </c>
    </row>
    <row r="29">
      <c r="A29" s="22" t="inlineStr">
        <is>
          <t>PRJ-002</t>
        </is>
      </c>
      <c r="B29" s="22" t="inlineStr">
        <is>
          <t>Nutrition Stabilisation Centre - Malir</t>
        </is>
      </c>
      <c r="C29" s="22" t="inlineStr">
        <is>
          <t>FY2024-25</t>
        </is>
      </c>
      <c r="D29" s="22" t="inlineStr">
        <is>
          <t>Nutrition</t>
        </is>
      </c>
      <c r="E29" s="23" t="n">
        <v>3652000</v>
      </c>
      <c r="F29" s="23" t="n">
        <v>10056992.72</v>
      </c>
      <c r="G29" s="23" t="n">
        <v>-6404992.72</v>
      </c>
      <c r="H29" s="31" t="n">
        <v>2.7538</v>
      </c>
      <c r="I29" s="22" t="inlineStr">
        <is>
          <t>Over budget</t>
        </is>
      </c>
    </row>
    <row r="30">
      <c r="A30" s="22" t="inlineStr">
        <is>
          <t>PRJ-002</t>
        </is>
      </c>
      <c r="B30" s="22" t="inlineStr">
        <is>
          <t>Nutrition Stabilisation Centre - Malir</t>
        </is>
      </c>
      <c r="C30" s="22" t="inlineStr">
        <is>
          <t>FY2025-26</t>
        </is>
      </c>
      <c r="D30" s="22" t="inlineStr">
        <is>
          <t>Equipment</t>
        </is>
      </c>
      <c r="E30" s="23" t="n">
        <v>1325000</v>
      </c>
      <c r="F30" s="23" t="n">
        <v>1446.24</v>
      </c>
      <c r="G30" s="23" t="n">
        <v>1323553.76</v>
      </c>
      <c r="H30" s="31" t="n">
        <v>0.0011</v>
      </c>
      <c r="I30" s="22" t="inlineStr">
        <is>
          <t>Within</t>
        </is>
      </c>
    </row>
    <row r="31">
      <c r="A31" s="22" t="inlineStr">
        <is>
          <t>PRJ-002</t>
        </is>
      </c>
      <c r="B31" s="22" t="inlineStr">
        <is>
          <t>Nutrition Stabilisation Centre - Malir</t>
        </is>
      </c>
      <c r="C31" s="22" t="inlineStr">
        <is>
          <t>FY2025-26</t>
        </is>
      </c>
      <c r="D31" s="22" t="inlineStr">
        <is>
          <t>General Items</t>
        </is>
      </c>
      <c r="E31" s="23" t="n">
        <v>1078000</v>
      </c>
      <c r="F31" s="23" t="n">
        <v>594053.5699999999</v>
      </c>
      <c r="G31" s="23" t="n">
        <v>483946.43</v>
      </c>
      <c r="H31" s="31" t="n">
        <v>0.5511</v>
      </c>
      <c r="I31" s="22" t="inlineStr">
        <is>
          <t>Within</t>
        </is>
      </c>
    </row>
    <row r="32">
      <c r="A32" s="22" t="inlineStr">
        <is>
          <t>PRJ-002</t>
        </is>
      </c>
      <c r="B32" s="22" t="inlineStr">
        <is>
          <t>Nutrition Stabilisation Centre - Malir</t>
        </is>
      </c>
      <c r="C32" s="22" t="inlineStr">
        <is>
          <t>FY2025-26</t>
        </is>
      </c>
      <c r="D32" s="22" t="inlineStr">
        <is>
          <t>Laboratory</t>
        </is>
      </c>
      <c r="E32" s="23" t="n">
        <v>1080000</v>
      </c>
      <c r="F32" s="23" t="n">
        <v>878156.46</v>
      </c>
      <c r="G32" s="23" t="n">
        <v>201843.54</v>
      </c>
      <c r="H32" s="31" t="n">
        <v>0.8131</v>
      </c>
      <c r="I32" s="22" t="inlineStr">
        <is>
          <t>Within</t>
        </is>
      </c>
    </row>
    <row r="33">
      <c r="A33" s="22" t="inlineStr">
        <is>
          <t>PRJ-002</t>
        </is>
      </c>
      <c r="B33" s="22" t="inlineStr">
        <is>
          <t>Nutrition Stabilisation Centre - Malir</t>
        </is>
      </c>
      <c r="C33" s="22" t="inlineStr">
        <is>
          <t>FY2025-26</t>
        </is>
      </c>
      <c r="D33" s="22" t="inlineStr">
        <is>
          <t>Medical Consumables</t>
        </is>
      </c>
      <c r="E33" s="23" t="n">
        <v>2845000</v>
      </c>
      <c r="F33" s="23" t="n">
        <v>3392145.87</v>
      </c>
      <c r="G33" s="23" t="n">
        <v>-547145.87</v>
      </c>
      <c r="H33" s="31" t="n">
        <v>1.1923</v>
      </c>
      <c r="I33" s="22" t="inlineStr">
        <is>
          <t>Over budget</t>
        </is>
      </c>
    </row>
    <row r="34">
      <c r="A34" s="22" t="inlineStr">
        <is>
          <t>PRJ-002</t>
        </is>
      </c>
      <c r="B34" s="22" t="inlineStr">
        <is>
          <t>Nutrition Stabilisation Centre - Malir</t>
        </is>
      </c>
      <c r="C34" s="22" t="inlineStr">
        <is>
          <t>FY2025-26</t>
        </is>
      </c>
      <c r="D34" s="22" t="inlineStr">
        <is>
          <t>Medicines</t>
        </is>
      </c>
      <c r="E34" s="23" t="n">
        <v>6125000</v>
      </c>
      <c r="F34" s="23" t="n">
        <v>3515128.59</v>
      </c>
      <c r="G34" s="23" t="n">
        <v>2609871.41</v>
      </c>
      <c r="H34" s="31" t="n">
        <v>0.5739</v>
      </c>
      <c r="I34" s="22" t="inlineStr">
        <is>
          <t>Within</t>
        </is>
      </c>
    </row>
    <row r="35">
      <c r="A35" s="22" t="inlineStr">
        <is>
          <t>PRJ-002</t>
        </is>
      </c>
      <c r="B35" s="22" t="inlineStr">
        <is>
          <t>Nutrition Stabilisation Centre - Malir</t>
        </is>
      </c>
      <c r="C35" s="22" t="inlineStr">
        <is>
          <t>FY2025-26</t>
        </is>
      </c>
      <c r="D35" s="22" t="inlineStr">
        <is>
          <t>Nutrition</t>
        </is>
      </c>
      <c r="E35" s="23" t="n">
        <v>3347000</v>
      </c>
      <c r="F35" s="23" t="n">
        <v>13340357.54</v>
      </c>
      <c r="G35" s="23" t="n">
        <v>-9993357.539999999</v>
      </c>
      <c r="H35" s="31" t="n">
        <v>3.9858</v>
      </c>
      <c r="I35" s="22" t="inlineStr">
        <is>
          <t>Over budget</t>
        </is>
      </c>
    </row>
    <row r="36">
      <c r="A36" s="22" t="inlineStr">
        <is>
          <t>PRJ-002</t>
        </is>
      </c>
      <c r="B36" s="22" t="inlineStr">
        <is>
          <t>Nutrition Stabilisation Centre - Malir</t>
        </is>
      </c>
      <c r="C36" s="22" t="inlineStr">
        <is>
          <t>FY2026-27</t>
        </is>
      </c>
      <c r="D36" s="22" t="inlineStr">
        <is>
          <t>Equipment</t>
        </is>
      </c>
      <c r="E36" s="23" t="n">
        <v>742000</v>
      </c>
      <c r="F36" s="23" t="n">
        <v>6782.37</v>
      </c>
      <c r="G36" s="23" t="n">
        <v>735217.63</v>
      </c>
      <c r="H36" s="31" t="n">
        <v>0.0091</v>
      </c>
      <c r="I36" s="22" t="inlineStr">
        <is>
          <t>Within</t>
        </is>
      </c>
    </row>
    <row r="37">
      <c r="A37" s="22" t="inlineStr">
        <is>
          <t>PRJ-002</t>
        </is>
      </c>
      <c r="B37" s="22" t="inlineStr">
        <is>
          <t>Nutrition Stabilisation Centre - Malir</t>
        </is>
      </c>
      <c r="C37" s="22" t="inlineStr">
        <is>
          <t>FY2026-27</t>
        </is>
      </c>
      <c r="D37" s="22" t="inlineStr">
        <is>
          <t>General Items</t>
        </is>
      </c>
      <c r="E37" s="23" t="n">
        <v>582000</v>
      </c>
      <c r="F37" s="23" t="n">
        <v>86951.35000000001</v>
      </c>
      <c r="G37" s="23" t="n">
        <v>495048.65</v>
      </c>
      <c r="H37" s="31" t="n">
        <v>0.1494</v>
      </c>
      <c r="I37" s="22" t="inlineStr">
        <is>
          <t>Within</t>
        </is>
      </c>
    </row>
    <row r="38">
      <c r="A38" s="22" t="inlineStr">
        <is>
          <t>PRJ-002</t>
        </is>
      </c>
      <c r="B38" s="22" t="inlineStr">
        <is>
          <t>Nutrition Stabilisation Centre - Malir</t>
        </is>
      </c>
      <c r="C38" s="22" t="inlineStr">
        <is>
          <t>FY2026-27</t>
        </is>
      </c>
      <c r="D38" s="22" t="inlineStr">
        <is>
          <t>Laboratory</t>
        </is>
      </c>
      <c r="E38" s="23" t="n">
        <v>588000</v>
      </c>
      <c r="F38" s="23" t="n">
        <v>179744.97</v>
      </c>
      <c r="G38" s="23" t="n">
        <v>408255.03</v>
      </c>
      <c r="H38" s="31" t="n">
        <v>0.3057</v>
      </c>
      <c r="I38" s="22" t="inlineStr">
        <is>
          <t>Within</t>
        </is>
      </c>
    </row>
    <row r="39">
      <c r="A39" s="22" t="inlineStr">
        <is>
          <t>PRJ-002</t>
        </is>
      </c>
      <c r="B39" s="22" t="inlineStr">
        <is>
          <t>Nutrition Stabilisation Centre - Malir</t>
        </is>
      </c>
      <c r="C39" s="22" t="inlineStr">
        <is>
          <t>FY2026-27</t>
        </is>
      </c>
      <c r="D39" s="22" t="inlineStr">
        <is>
          <t>Medical Consumables</t>
        </is>
      </c>
      <c r="E39" s="23" t="n">
        <v>1466000</v>
      </c>
      <c r="F39" s="23" t="n">
        <v>1136195.1</v>
      </c>
      <c r="G39" s="23" t="n">
        <v>329804.9</v>
      </c>
      <c r="H39" s="31" t="n">
        <v>0.775</v>
      </c>
      <c r="I39" s="22" t="inlineStr">
        <is>
          <t>Within</t>
        </is>
      </c>
    </row>
    <row r="40">
      <c r="A40" s="22" t="inlineStr">
        <is>
          <t>PRJ-002</t>
        </is>
      </c>
      <c r="B40" s="22" t="inlineStr">
        <is>
          <t>Nutrition Stabilisation Centre - Malir</t>
        </is>
      </c>
      <c r="C40" s="22" t="inlineStr">
        <is>
          <t>FY2026-27</t>
        </is>
      </c>
      <c r="D40" s="22" t="inlineStr">
        <is>
          <t>Medicines</t>
        </is>
      </c>
      <c r="E40" s="23" t="n">
        <v>3543000</v>
      </c>
      <c r="F40" s="23" t="n">
        <v>981875.13</v>
      </c>
      <c r="G40" s="23" t="n">
        <v>2561124.87</v>
      </c>
      <c r="H40" s="31" t="n">
        <v>0.2771</v>
      </c>
      <c r="I40" s="22" t="inlineStr">
        <is>
          <t>Within</t>
        </is>
      </c>
    </row>
    <row r="41">
      <c r="A41" s="22" t="inlineStr">
        <is>
          <t>PRJ-002</t>
        </is>
      </c>
      <c r="B41" s="22" t="inlineStr">
        <is>
          <t>Nutrition Stabilisation Centre - Malir</t>
        </is>
      </c>
      <c r="C41" s="22" t="inlineStr">
        <is>
          <t>FY2026-27</t>
        </is>
      </c>
      <c r="D41" s="22" t="inlineStr">
        <is>
          <t>Nutrition</t>
        </is>
      </c>
      <c r="E41" s="23" t="n">
        <v>1623000</v>
      </c>
      <c r="F41" s="23" t="n">
        <v>3809307.42</v>
      </c>
      <c r="G41" s="23" t="n">
        <v>-2186307.42</v>
      </c>
      <c r="H41" s="31" t="n">
        <v>2.3471</v>
      </c>
      <c r="I41" s="22" t="inlineStr">
        <is>
          <t>Over budget</t>
        </is>
      </c>
    </row>
    <row r="42">
      <c r="A42" s="22" t="inlineStr">
        <is>
          <t>PRJ-003</t>
        </is>
      </c>
      <c r="B42" s="22" t="inlineStr">
        <is>
          <t>TB DOTS Expansion - Karachi South</t>
        </is>
      </c>
      <c r="C42" s="22" t="inlineStr">
        <is>
          <t>FY2024-25</t>
        </is>
      </c>
      <c r="D42" s="22" t="inlineStr">
        <is>
          <t>Equipment</t>
        </is>
      </c>
      <c r="E42" s="23" t="n">
        <v>1914000</v>
      </c>
      <c r="F42" s="23" t="n">
        <v>0</v>
      </c>
      <c r="G42" s="23" t="n">
        <v>1914000</v>
      </c>
      <c r="H42" s="31" t="n">
        <v>0</v>
      </c>
      <c r="I42" s="22" t="inlineStr">
        <is>
          <t>Within</t>
        </is>
      </c>
    </row>
    <row r="43">
      <c r="A43" s="22" t="inlineStr">
        <is>
          <t>PRJ-003</t>
        </is>
      </c>
      <c r="B43" s="22" t="inlineStr">
        <is>
          <t>TB DOTS Expansion - Karachi South</t>
        </is>
      </c>
      <c r="C43" s="22" t="inlineStr">
        <is>
          <t>FY2024-25</t>
        </is>
      </c>
      <c r="D43" s="22" t="inlineStr">
        <is>
          <t>General Items</t>
        </is>
      </c>
      <c r="E43" s="23" t="n">
        <v>1606000</v>
      </c>
      <c r="F43" s="23" t="n">
        <v>622709.2</v>
      </c>
      <c r="G43" s="23" t="n">
        <v>983290.8</v>
      </c>
      <c r="H43" s="31" t="n">
        <v>0.3877</v>
      </c>
      <c r="I43" s="22" t="inlineStr">
        <is>
          <t>Within</t>
        </is>
      </c>
    </row>
    <row r="44">
      <c r="A44" s="22" t="inlineStr">
        <is>
          <t>PRJ-003</t>
        </is>
      </c>
      <c r="B44" s="22" t="inlineStr">
        <is>
          <t>TB DOTS Expansion - Karachi South</t>
        </is>
      </c>
      <c r="C44" s="22" t="inlineStr">
        <is>
          <t>FY2024-25</t>
        </is>
      </c>
      <c r="D44" s="22" t="inlineStr">
        <is>
          <t>Laboratory</t>
        </is>
      </c>
      <c r="E44" s="23" t="n">
        <v>1614000</v>
      </c>
      <c r="F44" s="23" t="n">
        <v>3008205.08</v>
      </c>
      <c r="G44" s="23" t="n">
        <v>-1394205.08</v>
      </c>
      <c r="H44" s="31" t="n">
        <v>1.8638</v>
      </c>
      <c r="I44" s="22" t="inlineStr">
        <is>
          <t>Over budget</t>
        </is>
      </c>
    </row>
    <row r="45">
      <c r="A45" s="22" t="inlineStr">
        <is>
          <t>PRJ-003</t>
        </is>
      </c>
      <c r="B45" s="22" t="inlineStr">
        <is>
          <t>TB DOTS Expansion - Karachi South</t>
        </is>
      </c>
      <c r="C45" s="22" t="inlineStr">
        <is>
          <t>FY2024-25</t>
        </is>
      </c>
      <c r="D45" s="22" t="inlineStr">
        <is>
          <t>Medical Consumables</t>
        </is>
      </c>
      <c r="E45" s="23" t="n">
        <v>4306000</v>
      </c>
      <c r="F45" s="23" t="n">
        <v>2942425.19</v>
      </c>
      <c r="G45" s="23" t="n">
        <v>1363574.81</v>
      </c>
      <c r="H45" s="31" t="n">
        <v>0.6833</v>
      </c>
      <c r="I45" s="22" t="inlineStr">
        <is>
          <t>Within</t>
        </is>
      </c>
    </row>
    <row r="46">
      <c r="A46" s="22" t="inlineStr">
        <is>
          <t>PRJ-003</t>
        </is>
      </c>
      <c r="B46" s="22" t="inlineStr">
        <is>
          <t>TB DOTS Expansion - Karachi South</t>
        </is>
      </c>
      <c r="C46" s="22" t="inlineStr">
        <is>
          <t>FY2024-25</t>
        </is>
      </c>
      <c r="D46" s="22" t="inlineStr">
        <is>
          <t>Medicines</t>
        </is>
      </c>
      <c r="E46" s="23" t="n">
        <v>8771000</v>
      </c>
      <c r="F46" s="23" t="n">
        <v>5428530.7</v>
      </c>
      <c r="G46" s="23" t="n">
        <v>3342469.3</v>
      </c>
      <c r="H46" s="31" t="n">
        <v>0.6189</v>
      </c>
      <c r="I46" s="22" t="inlineStr">
        <is>
          <t>Within</t>
        </is>
      </c>
    </row>
    <row r="47">
      <c r="A47" s="22" t="inlineStr">
        <is>
          <t>PRJ-003</t>
        </is>
      </c>
      <c r="B47" s="22" t="inlineStr">
        <is>
          <t>TB DOTS Expansion - Karachi South</t>
        </is>
      </c>
      <c r="C47" s="22" t="inlineStr">
        <is>
          <t>FY2024-25</t>
        </is>
      </c>
      <c r="D47" s="22" t="inlineStr">
        <is>
          <t>Nutrition</t>
        </is>
      </c>
      <c r="E47" s="23" t="n">
        <v>4446000</v>
      </c>
      <c r="F47" s="23" t="n">
        <v>1041423.76</v>
      </c>
      <c r="G47" s="23" t="n">
        <v>3404576.24</v>
      </c>
      <c r="H47" s="31" t="n">
        <v>0.2342</v>
      </c>
      <c r="I47" s="22" t="inlineStr">
        <is>
          <t>Within</t>
        </is>
      </c>
    </row>
    <row r="48">
      <c r="A48" s="22" t="inlineStr">
        <is>
          <t>PRJ-003</t>
        </is>
      </c>
      <c r="B48" s="22" t="inlineStr">
        <is>
          <t>TB DOTS Expansion - Karachi South</t>
        </is>
      </c>
      <c r="C48" s="22" t="inlineStr">
        <is>
          <t>FY2025-26</t>
        </is>
      </c>
      <c r="D48" s="22" t="inlineStr">
        <is>
          <t>Equipment</t>
        </is>
      </c>
      <c r="E48" s="23" t="n">
        <v>1748000</v>
      </c>
      <c r="F48" s="23" t="n">
        <v>0</v>
      </c>
      <c r="G48" s="23" t="n">
        <v>1748000</v>
      </c>
      <c r="H48" s="31" t="n">
        <v>0</v>
      </c>
      <c r="I48" s="22" t="inlineStr">
        <is>
          <t>Within</t>
        </is>
      </c>
    </row>
    <row r="49">
      <c r="A49" s="22" t="inlineStr">
        <is>
          <t>PRJ-003</t>
        </is>
      </c>
      <c r="B49" s="22" t="inlineStr">
        <is>
          <t>TB DOTS Expansion - Karachi South</t>
        </is>
      </c>
      <c r="C49" s="22" t="inlineStr">
        <is>
          <t>FY2025-26</t>
        </is>
      </c>
      <c r="D49" s="22" t="inlineStr">
        <is>
          <t>General Items</t>
        </is>
      </c>
      <c r="E49" s="23" t="n">
        <v>1478000</v>
      </c>
      <c r="F49" s="23" t="n">
        <v>722892.37</v>
      </c>
      <c r="G49" s="23" t="n">
        <v>755107.63</v>
      </c>
      <c r="H49" s="31" t="n">
        <v>0.4891</v>
      </c>
      <c r="I49" s="22" t="inlineStr">
        <is>
          <t>Within</t>
        </is>
      </c>
    </row>
    <row r="50">
      <c r="A50" s="22" t="inlineStr">
        <is>
          <t>PRJ-003</t>
        </is>
      </c>
      <c r="B50" s="22" t="inlineStr">
        <is>
          <t>TB DOTS Expansion - Karachi South</t>
        </is>
      </c>
      <c r="C50" s="22" t="inlineStr">
        <is>
          <t>FY2025-26</t>
        </is>
      </c>
      <c r="D50" s="22" t="inlineStr">
        <is>
          <t>Laboratory</t>
        </is>
      </c>
      <c r="E50" s="23" t="n">
        <v>1415000</v>
      </c>
      <c r="F50" s="23" t="n">
        <v>3400617.13</v>
      </c>
      <c r="G50" s="23" t="n">
        <v>-1985617.13</v>
      </c>
      <c r="H50" s="31" t="n">
        <v>2.4033</v>
      </c>
      <c r="I50" s="22" t="inlineStr">
        <is>
          <t>Over budget</t>
        </is>
      </c>
    </row>
    <row r="51">
      <c r="A51" s="22" t="inlineStr">
        <is>
          <t>PRJ-003</t>
        </is>
      </c>
      <c r="B51" s="22" t="inlineStr">
        <is>
          <t>TB DOTS Expansion - Karachi South</t>
        </is>
      </c>
      <c r="C51" s="22" t="inlineStr">
        <is>
          <t>FY2025-26</t>
        </is>
      </c>
      <c r="D51" s="22" t="inlineStr">
        <is>
          <t>Medical Consumables</t>
        </is>
      </c>
      <c r="E51" s="23" t="n">
        <v>3596000</v>
      </c>
      <c r="F51" s="23" t="n">
        <v>3602827.07</v>
      </c>
      <c r="G51" s="23" t="n">
        <v>-6827.07</v>
      </c>
      <c r="H51" s="31" t="n">
        <v>1.0019</v>
      </c>
      <c r="I51" s="22" t="inlineStr">
        <is>
          <t>Over budget</t>
        </is>
      </c>
    </row>
    <row r="52">
      <c r="A52" s="22" t="inlineStr">
        <is>
          <t>PRJ-003</t>
        </is>
      </c>
      <c r="B52" s="22" t="inlineStr">
        <is>
          <t>TB DOTS Expansion - Karachi South</t>
        </is>
      </c>
      <c r="C52" s="22" t="inlineStr">
        <is>
          <t>FY2025-26</t>
        </is>
      </c>
      <c r="D52" s="22" t="inlineStr">
        <is>
          <t>Medicines</t>
        </is>
      </c>
      <c r="E52" s="23" t="n">
        <v>7823000</v>
      </c>
      <c r="F52" s="23" t="n">
        <v>6467531.03</v>
      </c>
      <c r="G52" s="23" t="n">
        <v>1355468.97</v>
      </c>
      <c r="H52" s="31" t="n">
        <v>0.8267</v>
      </c>
      <c r="I52" s="22" t="inlineStr">
        <is>
          <t>Within</t>
        </is>
      </c>
    </row>
    <row r="53">
      <c r="A53" s="22" t="inlineStr">
        <is>
          <t>PRJ-003</t>
        </is>
      </c>
      <c r="B53" s="22" t="inlineStr">
        <is>
          <t>TB DOTS Expansion - Karachi South</t>
        </is>
      </c>
      <c r="C53" s="22" t="inlineStr">
        <is>
          <t>FY2025-26</t>
        </is>
      </c>
      <c r="D53" s="22" t="inlineStr">
        <is>
          <t>Nutrition</t>
        </is>
      </c>
      <c r="E53" s="23" t="n">
        <v>3887000</v>
      </c>
      <c r="F53" s="23" t="n">
        <v>986609.54</v>
      </c>
      <c r="G53" s="23" t="n">
        <v>2900390.46</v>
      </c>
      <c r="H53" s="31" t="n">
        <v>0.2538</v>
      </c>
      <c r="I53" s="22" t="inlineStr">
        <is>
          <t>Within</t>
        </is>
      </c>
    </row>
    <row r="54">
      <c r="A54" s="22" t="inlineStr">
        <is>
          <t>PRJ-003</t>
        </is>
      </c>
      <c r="B54" s="22" t="inlineStr">
        <is>
          <t>TB DOTS Expansion - Karachi South</t>
        </is>
      </c>
      <c r="C54" s="22" t="inlineStr">
        <is>
          <t>FY2026-27</t>
        </is>
      </c>
      <c r="D54" s="22" t="inlineStr">
        <is>
          <t>Equipment</t>
        </is>
      </c>
      <c r="E54" s="23" t="n">
        <v>932000</v>
      </c>
      <c r="F54" s="23" t="n">
        <v>0</v>
      </c>
      <c r="G54" s="23" t="n">
        <v>932000</v>
      </c>
      <c r="H54" s="31" t="n">
        <v>0</v>
      </c>
      <c r="I54" s="22" t="inlineStr">
        <is>
          <t>Within</t>
        </is>
      </c>
    </row>
    <row r="55">
      <c r="A55" s="22" t="inlineStr">
        <is>
          <t>PRJ-003</t>
        </is>
      </c>
      <c r="B55" s="22" t="inlineStr">
        <is>
          <t>TB DOTS Expansion - Karachi South</t>
        </is>
      </c>
      <c r="C55" s="22" t="inlineStr">
        <is>
          <t>FY2026-27</t>
        </is>
      </c>
      <c r="D55" s="22" t="inlineStr">
        <is>
          <t>General Items</t>
        </is>
      </c>
      <c r="E55" s="23" t="n">
        <v>762000</v>
      </c>
      <c r="F55" s="23" t="n">
        <v>201652.04</v>
      </c>
      <c r="G55" s="23" t="n">
        <v>560347.96</v>
      </c>
      <c r="H55" s="31" t="n">
        <v>0.2646</v>
      </c>
      <c r="I55" s="22" t="inlineStr">
        <is>
          <t>Within</t>
        </is>
      </c>
    </row>
    <row r="56">
      <c r="A56" s="22" t="inlineStr">
        <is>
          <t>PRJ-003</t>
        </is>
      </c>
      <c r="B56" s="22" t="inlineStr">
        <is>
          <t>TB DOTS Expansion - Karachi South</t>
        </is>
      </c>
      <c r="C56" s="22" t="inlineStr">
        <is>
          <t>FY2026-27</t>
        </is>
      </c>
      <c r="D56" s="22" t="inlineStr">
        <is>
          <t>Laboratory</t>
        </is>
      </c>
      <c r="E56" s="23" t="n">
        <v>796000</v>
      </c>
      <c r="F56" s="23" t="n">
        <v>926398.6</v>
      </c>
      <c r="G56" s="23" t="n">
        <v>-130398.6</v>
      </c>
      <c r="H56" s="31" t="n">
        <v>1.1638</v>
      </c>
      <c r="I56" s="22" t="inlineStr">
        <is>
          <t>Over budget</t>
        </is>
      </c>
    </row>
    <row r="57">
      <c r="A57" s="22" t="inlineStr">
        <is>
          <t>PRJ-003</t>
        </is>
      </c>
      <c r="B57" s="22" t="inlineStr">
        <is>
          <t>TB DOTS Expansion - Karachi South</t>
        </is>
      </c>
      <c r="C57" s="22" t="inlineStr">
        <is>
          <t>FY2026-27</t>
        </is>
      </c>
      <c r="D57" s="22" t="inlineStr">
        <is>
          <t>Medical Consumables</t>
        </is>
      </c>
      <c r="E57" s="23" t="n">
        <v>1941000</v>
      </c>
      <c r="F57" s="23" t="n">
        <v>1014279.01</v>
      </c>
      <c r="G57" s="23" t="n">
        <v>926720.99</v>
      </c>
      <c r="H57" s="31" t="n">
        <v>0.5226</v>
      </c>
      <c r="I57" s="22" t="inlineStr">
        <is>
          <t>Within</t>
        </is>
      </c>
    </row>
    <row r="58">
      <c r="A58" s="22" t="inlineStr">
        <is>
          <t>PRJ-003</t>
        </is>
      </c>
      <c r="B58" s="22" t="inlineStr">
        <is>
          <t>TB DOTS Expansion - Karachi South</t>
        </is>
      </c>
      <c r="C58" s="22" t="inlineStr">
        <is>
          <t>FY2026-27</t>
        </is>
      </c>
      <c r="D58" s="22" t="inlineStr">
        <is>
          <t>Medicines</t>
        </is>
      </c>
      <c r="E58" s="23" t="n">
        <v>3751000</v>
      </c>
      <c r="F58" s="23" t="n">
        <v>2160182.83</v>
      </c>
      <c r="G58" s="23" t="n">
        <v>1590817.17</v>
      </c>
      <c r="H58" s="31" t="n">
        <v>0.5759</v>
      </c>
      <c r="I58" s="22" t="inlineStr">
        <is>
          <t>Within</t>
        </is>
      </c>
    </row>
    <row r="59">
      <c r="A59" s="22" t="inlineStr">
        <is>
          <t>PRJ-003</t>
        </is>
      </c>
      <c r="B59" s="22" t="inlineStr">
        <is>
          <t>TB DOTS Expansion - Karachi South</t>
        </is>
      </c>
      <c r="C59" s="22" t="inlineStr">
        <is>
          <t>FY2026-27</t>
        </is>
      </c>
      <c r="D59" s="22" t="inlineStr">
        <is>
          <t>Nutrition</t>
        </is>
      </c>
      <c r="E59" s="23" t="n">
        <v>2128000</v>
      </c>
      <c r="F59" s="23" t="n">
        <v>539732.5600000001</v>
      </c>
      <c r="G59" s="23" t="n">
        <v>1588267.44</v>
      </c>
      <c r="H59" s="31" t="n">
        <v>0.2536</v>
      </c>
      <c r="I59" s="22" t="inlineStr">
        <is>
          <t>Within</t>
        </is>
      </c>
    </row>
    <row r="60">
      <c r="A60" s="22" t="inlineStr">
        <is>
          <t>PRJ-004</t>
        </is>
      </c>
      <c r="B60" s="22" t="inlineStr">
        <is>
          <t>Primary Healthcare Support - Tharparkar</t>
        </is>
      </c>
      <c r="C60" s="22" t="inlineStr">
        <is>
          <t>FY2024-25</t>
        </is>
      </c>
      <c r="D60" s="22" t="inlineStr">
        <is>
          <t>Equipment</t>
        </is>
      </c>
      <c r="E60" s="23" t="n">
        <v>1548000</v>
      </c>
      <c r="F60" s="23" t="n">
        <v>1446.24</v>
      </c>
      <c r="G60" s="23" t="n">
        <v>1546553.76</v>
      </c>
      <c r="H60" s="31" t="n">
        <v>0.0009</v>
      </c>
      <c r="I60" s="22" t="inlineStr">
        <is>
          <t>Within</t>
        </is>
      </c>
    </row>
    <row r="61">
      <c r="A61" s="22" t="inlineStr">
        <is>
          <t>PRJ-004</t>
        </is>
      </c>
      <c r="B61" s="22" t="inlineStr">
        <is>
          <t>Primary Healthcare Support - Tharparkar</t>
        </is>
      </c>
      <c r="C61" s="22" t="inlineStr">
        <is>
          <t>FY2024-25</t>
        </is>
      </c>
      <c r="D61" s="22" t="inlineStr">
        <is>
          <t>General Items</t>
        </is>
      </c>
      <c r="E61" s="23" t="n">
        <v>1269000</v>
      </c>
      <c r="F61" s="23" t="n">
        <v>400501.43</v>
      </c>
      <c r="G61" s="23" t="n">
        <v>868498.5699999999</v>
      </c>
      <c r="H61" s="31" t="n">
        <v>0.3156</v>
      </c>
      <c r="I61" s="22" t="inlineStr">
        <is>
          <t>Within</t>
        </is>
      </c>
    </row>
    <row r="62">
      <c r="A62" s="22" t="inlineStr">
        <is>
          <t>PRJ-004</t>
        </is>
      </c>
      <c r="B62" s="22" t="inlineStr">
        <is>
          <t>Primary Healthcare Support - Tharparkar</t>
        </is>
      </c>
      <c r="C62" s="22" t="inlineStr">
        <is>
          <t>FY2024-25</t>
        </is>
      </c>
      <c r="D62" s="22" t="inlineStr">
        <is>
          <t>Laboratory</t>
        </is>
      </c>
      <c r="E62" s="23" t="n">
        <v>1124000</v>
      </c>
      <c r="F62" s="23" t="n">
        <v>358912.26</v>
      </c>
      <c r="G62" s="23" t="n">
        <v>765087.74</v>
      </c>
      <c r="H62" s="31" t="n">
        <v>0.3193</v>
      </c>
      <c r="I62" s="22" t="inlineStr">
        <is>
          <t>Within</t>
        </is>
      </c>
    </row>
    <row r="63">
      <c r="A63" s="22" t="inlineStr">
        <is>
          <t>PRJ-004</t>
        </is>
      </c>
      <c r="B63" s="22" t="inlineStr">
        <is>
          <t>Primary Healthcare Support - Tharparkar</t>
        </is>
      </c>
      <c r="C63" s="22" t="inlineStr">
        <is>
          <t>FY2024-25</t>
        </is>
      </c>
      <c r="D63" s="22" t="inlineStr">
        <is>
          <t>Medical Consumables</t>
        </is>
      </c>
      <c r="E63" s="23" t="n">
        <v>3338000</v>
      </c>
      <c r="F63" s="23" t="n">
        <v>2409930</v>
      </c>
      <c r="G63" s="23" t="n">
        <v>928070</v>
      </c>
      <c r="H63" s="31" t="n">
        <v>0.722</v>
      </c>
      <c r="I63" s="22" t="inlineStr">
        <is>
          <t>Within</t>
        </is>
      </c>
    </row>
    <row r="64">
      <c r="A64" s="22" t="inlineStr">
        <is>
          <t>PRJ-004</t>
        </is>
      </c>
      <c r="B64" s="22" t="inlineStr">
        <is>
          <t>Primary Healthcare Support - Tharparkar</t>
        </is>
      </c>
      <c r="C64" s="22" t="inlineStr">
        <is>
          <t>FY2024-25</t>
        </is>
      </c>
      <c r="D64" s="22" t="inlineStr">
        <is>
          <t>Medicines</t>
        </is>
      </c>
      <c r="E64" s="23" t="n">
        <v>6210000</v>
      </c>
      <c r="F64" s="23" t="n">
        <v>2904796.4</v>
      </c>
      <c r="G64" s="23" t="n">
        <v>3305203.6</v>
      </c>
      <c r="H64" s="31" t="n">
        <v>0.4678</v>
      </c>
      <c r="I64" s="22" t="inlineStr">
        <is>
          <t>Within</t>
        </is>
      </c>
    </row>
    <row r="65">
      <c r="A65" s="22" t="inlineStr">
        <is>
          <t>PRJ-004</t>
        </is>
      </c>
      <c r="B65" s="22" t="inlineStr">
        <is>
          <t>Primary Healthcare Support - Tharparkar</t>
        </is>
      </c>
      <c r="C65" s="22" t="inlineStr">
        <is>
          <t>FY2024-25</t>
        </is>
      </c>
      <c r="D65" s="22" t="inlineStr">
        <is>
          <t>Nutrition</t>
        </is>
      </c>
      <c r="E65" s="23" t="n">
        <v>3594000</v>
      </c>
      <c r="F65" s="23" t="n">
        <v>2963124.34</v>
      </c>
      <c r="G65" s="23" t="n">
        <v>630875.66</v>
      </c>
      <c r="H65" s="31" t="n">
        <v>0.8245</v>
      </c>
      <c r="I65" s="22" t="inlineStr">
        <is>
          <t>Within</t>
        </is>
      </c>
    </row>
    <row r="66">
      <c r="A66" s="22" t="inlineStr">
        <is>
          <t>PRJ-004</t>
        </is>
      </c>
      <c r="B66" s="22" t="inlineStr">
        <is>
          <t>Primary Healthcare Support - Tharparkar</t>
        </is>
      </c>
      <c r="C66" s="22" t="inlineStr">
        <is>
          <t>FY2025-26</t>
        </is>
      </c>
      <c r="D66" s="22" t="inlineStr">
        <is>
          <t>Equipment</t>
        </is>
      </c>
      <c r="E66" s="23" t="n">
        <v>1391000</v>
      </c>
      <c r="F66" s="23" t="n">
        <v>0</v>
      </c>
      <c r="G66" s="23" t="n">
        <v>1391000</v>
      </c>
      <c r="H66" s="31" t="n">
        <v>0</v>
      </c>
      <c r="I66" s="22" t="inlineStr">
        <is>
          <t>Within</t>
        </is>
      </c>
    </row>
    <row r="67">
      <c r="A67" s="22" t="inlineStr">
        <is>
          <t>PRJ-004</t>
        </is>
      </c>
      <c r="B67" s="22" t="inlineStr">
        <is>
          <t>Primary Healthcare Support - Tharparkar</t>
        </is>
      </c>
      <c r="C67" s="22" t="inlineStr">
        <is>
          <t>FY2025-26</t>
        </is>
      </c>
      <c r="D67" s="22" t="inlineStr">
        <is>
          <t>General Items</t>
        </is>
      </c>
      <c r="E67" s="23" t="n">
        <v>1157000</v>
      </c>
      <c r="F67" s="23" t="n">
        <v>630615.5</v>
      </c>
      <c r="G67" s="23" t="n">
        <v>526384.5</v>
      </c>
      <c r="H67" s="31" t="n">
        <v>0.545</v>
      </c>
      <c r="I67" s="22" t="inlineStr">
        <is>
          <t>Within</t>
        </is>
      </c>
    </row>
    <row r="68">
      <c r="A68" s="22" t="inlineStr">
        <is>
          <t>PRJ-004</t>
        </is>
      </c>
      <c r="B68" s="22" t="inlineStr">
        <is>
          <t>Primary Healthcare Support - Tharparkar</t>
        </is>
      </c>
      <c r="C68" s="22" t="inlineStr">
        <is>
          <t>FY2025-26</t>
        </is>
      </c>
      <c r="D68" s="22" t="inlineStr">
        <is>
          <t>Laboratory</t>
        </is>
      </c>
      <c r="E68" s="23" t="n">
        <v>1028000</v>
      </c>
      <c r="F68" s="23" t="n">
        <v>656101.87</v>
      </c>
      <c r="G68" s="23" t="n">
        <v>371898.13</v>
      </c>
      <c r="H68" s="31" t="n">
        <v>0.6382</v>
      </c>
      <c r="I68" s="22" t="inlineStr">
        <is>
          <t>Within</t>
        </is>
      </c>
    </row>
    <row r="69">
      <c r="A69" s="22" t="inlineStr">
        <is>
          <t>PRJ-004</t>
        </is>
      </c>
      <c r="B69" s="22" t="inlineStr">
        <is>
          <t>Primary Healthcare Support - Tharparkar</t>
        </is>
      </c>
      <c r="C69" s="22" t="inlineStr">
        <is>
          <t>FY2025-26</t>
        </is>
      </c>
      <c r="D69" s="22" t="inlineStr">
        <is>
          <t>Medical Consumables</t>
        </is>
      </c>
      <c r="E69" s="23" t="n">
        <v>2877000</v>
      </c>
      <c r="F69" s="23" t="n">
        <v>4248114.24</v>
      </c>
      <c r="G69" s="23" t="n">
        <v>-1371114.24</v>
      </c>
      <c r="H69" s="31" t="n">
        <v>1.4766</v>
      </c>
      <c r="I69" s="22" t="inlineStr">
        <is>
          <t>Over budget</t>
        </is>
      </c>
    </row>
    <row r="70">
      <c r="A70" s="22" t="inlineStr">
        <is>
          <t>PRJ-004</t>
        </is>
      </c>
      <c r="B70" s="22" t="inlineStr">
        <is>
          <t>Primary Healthcare Support - Tharparkar</t>
        </is>
      </c>
      <c r="C70" s="22" t="inlineStr">
        <is>
          <t>FY2025-26</t>
        </is>
      </c>
      <c r="D70" s="22" t="inlineStr">
        <is>
          <t>Medicines</t>
        </is>
      </c>
      <c r="E70" s="23" t="n">
        <v>6240000</v>
      </c>
      <c r="F70" s="23" t="n">
        <v>5076110.38</v>
      </c>
      <c r="G70" s="23" t="n">
        <v>1163889.62</v>
      </c>
      <c r="H70" s="31" t="n">
        <v>0.8135</v>
      </c>
      <c r="I70" s="22" t="inlineStr">
        <is>
          <t>Within</t>
        </is>
      </c>
    </row>
    <row r="71">
      <c r="A71" s="22" t="inlineStr">
        <is>
          <t>PRJ-004</t>
        </is>
      </c>
      <c r="B71" s="22" t="inlineStr">
        <is>
          <t>Primary Healthcare Support - Tharparkar</t>
        </is>
      </c>
      <c r="C71" s="22" t="inlineStr">
        <is>
          <t>FY2025-26</t>
        </is>
      </c>
      <c r="D71" s="22" t="inlineStr">
        <is>
          <t>Nutrition</t>
        </is>
      </c>
      <c r="E71" s="23" t="n">
        <v>3315000</v>
      </c>
      <c r="F71" s="23" t="n">
        <v>5153148.28</v>
      </c>
      <c r="G71" s="23" t="n">
        <v>-1838148.28</v>
      </c>
      <c r="H71" s="31" t="n">
        <v>1.5545</v>
      </c>
      <c r="I71" s="22" t="inlineStr">
        <is>
          <t>Over budget</t>
        </is>
      </c>
    </row>
    <row r="72">
      <c r="A72" s="22" t="inlineStr">
        <is>
          <t>PRJ-004</t>
        </is>
      </c>
      <c r="B72" s="22" t="inlineStr">
        <is>
          <t>Primary Healthcare Support - Tharparkar</t>
        </is>
      </c>
      <c r="C72" s="22" t="inlineStr">
        <is>
          <t>FY2026-27</t>
        </is>
      </c>
      <c r="D72" s="22" t="inlineStr">
        <is>
          <t>Equipment</t>
        </is>
      </c>
      <c r="E72" s="23" t="n">
        <v>738000</v>
      </c>
      <c r="F72" s="23" t="n">
        <v>0</v>
      </c>
      <c r="G72" s="23" t="n">
        <v>738000</v>
      </c>
      <c r="H72" s="31" t="n">
        <v>0</v>
      </c>
      <c r="I72" s="22" t="inlineStr">
        <is>
          <t>Within</t>
        </is>
      </c>
    </row>
    <row r="73">
      <c r="A73" s="22" t="inlineStr">
        <is>
          <t>PRJ-004</t>
        </is>
      </c>
      <c r="B73" s="22" t="inlineStr">
        <is>
          <t>Primary Healthcare Support - Tharparkar</t>
        </is>
      </c>
      <c r="C73" s="22" t="inlineStr">
        <is>
          <t>FY2026-27</t>
        </is>
      </c>
      <c r="D73" s="22" t="inlineStr">
        <is>
          <t>General Items</t>
        </is>
      </c>
      <c r="E73" s="23" t="n">
        <v>607000</v>
      </c>
      <c r="F73" s="23" t="n">
        <v>243686.8</v>
      </c>
      <c r="G73" s="23" t="n">
        <v>363313.2</v>
      </c>
      <c r="H73" s="31" t="n">
        <v>0.4015</v>
      </c>
      <c r="I73" s="22" t="inlineStr">
        <is>
          <t>Within</t>
        </is>
      </c>
    </row>
    <row r="74">
      <c r="A74" s="22" t="inlineStr">
        <is>
          <t>PRJ-004</t>
        </is>
      </c>
      <c r="B74" s="22" t="inlineStr">
        <is>
          <t>Primary Healthcare Support - Tharparkar</t>
        </is>
      </c>
      <c r="C74" s="22" t="inlineStr">
        <is>
          <t>FY2026-27</t>
        </is>
      </c>
      <c r="D74" s="22" t="inlineStr">
        <is>
          <t>Laboratory</t>
        </is>
      </c>
      <c r="E74" s="23" t="n">
        <v>564000</v>
      </c>
      <c r="F74" s="23" t="n">
        <v>108092.45</v>
      </c>
      <c r="G74" s="23" t="n">
        <v>455907.55</v>
      </c>
      <c r="H74" s="31" t="n">
        <v>0.1917</v>
      </c>
      <c r="I74" s="22" t="inlineStr">
        <is>
          <t>Within</t>
        </is>
      </c>
    </row>
    <row r="75">
      <c r="A75" s="22" t="inlineStr">
        <is>
          <t>PRJ-004</t>
        </is>
      </c>
      <c r="B75" s="22" t="inlineStr">
        <is>
          <t>Primary Healthcare Support - Tharparkar</t>
        </is>
      </c>
      <c r="C75" s="22" t="inlineStr">
        <is>
          <t>FY2026-27</t>
        </is>
      </c>
      <c r="D75" s="22" t="inlineStr">
        <is>
          <t>Medical Consumables</t>
        </is>
      </c>
      <c r="E75" s="23" t="n">
        <v>1539000</v>
      </c>
      <c r="F75" s="23" t="n">
        <v>1434828.88</v>
      </c>
      <c r="G75" s="23" t="n">
        <v>104171.12</v>
      </c>
      <c r="H75" s="31" t="n">
        <v>0.9323</v>
      </c>
      <c r="I75" s="22" t="inlineStr">
        <is>
          <t>Watch</t>
        </is>
      </c>
    </row>
    <row r="76">
      <c r="A76" s="22" t="inlineStr">
        <is>
          <t>PRJ-004</t>
        </is>
      </c>
      <c r="B76" s="22" t="inlineStr">
        <is>
          <t>Primary Healthcare Support - Tharparkar</t>
        </is>
      </c>
      <c r="C76" s="22" t="inlineStr">
        <is>
          <t>FY2026-27</t>
        </is>
      </c>
      <c r="D76" s="22" t="inlineStr">
        <is>
          <t>Medicines</t>
        </is>
      </c>
      <c r="E76" s="23" t="n">
        <v>2996000</v>
      </c>
      <c r="F76" s="23" t="n">
        <v>1620054.83</v>
      </c>
      <c r="G76" s="23" t="n">
        <v>1375945.17</v>
      </c>
      <c r="H76" s="31" t="n">
        <v>0.5407</v>
      </c>
      <c r="I76" s="22" t="inlineStr">
        <is>
          <t>Within</t>
        </is>
      </c>
    </row>
    <row r="77">
      <c r="A77" s="22" t="inlineStr">
        <is>
          <t>PRJ-004</t>
        </is>
      </c>
      <c r="B77" s="22" t="inlineStr">
        <is>
          <t>Primary Healthcare Support - Tharparkar</t>
        </is>
      </c>
      <c r="C77" s="22" t="inlineStr">
        <is>
          <t>FY2026-27</t>
        </is>
      </c>
      <c r="D77" s="22" t="inlineStr">
        <is>
          <t>Nutrition</t>
        </is>
      </c>
      <c r="E77" s="23" t="n">
        <v>1514000</v>
      </c>
      <c r="F77" s="23" t="n">
        <v>1870000.44</v>
      </c>
      <c r="G77" s="23" t="n">
        <v>-356000.44</v>
      </c>
      <c r="H77" s="31" t="n">
        <v>1.2351</v>
      </c>
      <c r="I77" s="22" t="inlineStr">
        <is>
          <t>Over budget</t>
        </is>
      </c>
    </row>
    <row r="78">
      <c r="A78" s="22" t="inlineStr">
        <is>
          <t>PRJ-005</t>
        </is>
      </c>
      <c r="B78" s="22" t="inlineStr">
        <is>
          <t>Flood Response &amp; Health Recovery - Dadu</t>
        </is>
      </c>
      <c r="C78" s="22" t="inlineStr">
        <is>
          <t>FY2024-25</t>
        </is>
      </c>
      <c r="D78" s="22" t="inlineStr">
        <is>
          <t>Equipment</t>
        </is>
      </c>
      <c r="E78" s="23" t="n">
        <v>1134000</v>
      </c>
      <c r="F78" s="23" t="n">
        <v>0</v>
      </c>
      <c r="G78" s="23" t="n">
        <v>1134000</v>
      </c>
      <c r="H78" s="31" t="n">
        <v>0</v>
      </c>
      <c r="I78" s="22" t="inlineStr">
        <is>
          <t>Within</t>
        </is>
      </c>
    </row>
    <row r="79">
      <c r="A79" s="22" t="inlineStr">
        <is>
          <t>PRJ-005</t>
        </is>
      </c>
      <c r="B79" s="22" t="inlineStr">
        <is>
          <t>Flood Response &amp; Health Recovery - Dadu</t>
        </is>
      </c>
      <c r="C79" s="22" t="inlineStr">
        <is>
          <t>FY2024-25</t>
        </is>
      </c>
      <c r="D79" s="22" t="inlineStr">
        <is>
          <t>General Items</t>
        </is>
      </c>
      <c r="E79" s="23" t="n">
        <v>921000</v>
      </c>
      <c r="F79" s="23" t="n">
        <v>626113.17</v>
      </c>
      <c r="G79" s="23" t="n">
        <v>294886.83</v>
      </c>
      <c r="H79" s="31" t="n">
        <v>0.6798</v>
      </c>
      <c r="I79" s="22" t="inlineStr">
        <is>
          <t>Within</t>
        </is>
      </c>
    </row>
    <row r="80">
      <c r="A80" s="22" t="inlineStr">
        <is>
          <t>PRJ-005</t>
        </is>
      </c>
      <c r="B80" s="22" t="inlineStr">
        <is>
          <t>Flood Response &amp; Health Recovery - Dadu</t>
        </is>
      </c>
      <c r="C80" s="22" t="inlineStr">
        <is>
          <t>FY2024-25</t>
        </is>
      </c>
      <c r="D80" s="22" t="inlineStr">
        <is>
          <t>Laboratory</t>
        </is>
      </c>
      <c r="E80" s="23" t="n">
        <v>932000</v>
      </c>
      <c r="F80" s="23" t="n">
        <v>192948.22</v>
      </c>
      <c r="G80" s="23" t="n">
        <v>739051.78</v>
      </c>
      <c r="H80" s="31" t="n">
        <v>0.207</v>
      </c>
      <c r="I80" s="22" t="inlineStr">
        <is>
          <t>Within</t>
        </is>
      </c>
    </row>
    <row r="81">
      <c r="A81" s="22" t="inlineStr">
        <is>
          <t>PRJ-005</t>
        </is>
      </c>
      <c r="B81" s="22" t="inlineStr">
        <is>
          <t>Flood Response &amp; Health Recovery - Dadu</t>
        </is>
      </c>
      <c r="C81" s="22" t="inlineStr">
        <is>
          <t>FY2024-25</t>
        </is>
      </c>
      <c r="D81" s="22" t="inlineStr">
        <is>
          <t>Medical Consumables</t>
        </is>
      </c>
      <c r="E81" s="23" t="n">
        <v>2688000</v>
      </c>
      <c r="F81" s="23" t="n">
        <v>1797762.4</v>
      </c>
      <c r="G81" s="23" t="n">
        <v>890237.6</v>
      </c>
      <c r="H81" s="31" t="n">
        <v>0.6688</v>
      </c>
      <c r="I81" s="22" t="inlineStr">
        <is>
          <t>Within</t>
        </is>
      </c>
    </row>
    <row r="82">
      <c r="A82" s="22" t="inlineStr">
        <is>
          <t>PRJ-005</t>
        </is>
      </c>
      <c r="B82" s="22" t="inlineStr">
        <is>
          <t>Flood Response &amp; Health Recovery - Dadu</t>
        </is>
      </c>
      <c r="C82" s="22" t="inlineStr">
        <is>
          <t>FY2024-25</t>
        </is>
      </c>
      <c r="D82" s="22" t="inlineStr">
        <is>
          <t>Medicines</t>
        </is>
      </c>
      <c r="E82" s="23" t="n">
        <v>4895000</v>
      </c>
      <c r="F82" s="23" t="n">
        <v>3423912.05</v>
      </c>
      <c r="G82" s="23" t="n">
        <v>1471087.95</v>
      </c>
      <c r="H82" s="31" t="n">
        <v>0.6995</v>
      </c>
      <c r="I82" s="22" t="inlineStr">
        <is>
          <t>Within</t>
        </is>
      </c>
    </row>
    <row r="83">
      <c r="A83" s="22" t="inlineStr">
        <is>
          <t>PRJ-005</t>
        </is>
      </c>
      <c r="B83" s="22" t="inlineStr">
        <is>
          <t>Flood Response &amp; Health Recovery - Dadu</t>
        </is>
      </c>
      <c r="C83" s="22" t="inlineStr">
        <is>
          <t>FY2024-25</t>
        </is>
      </c>
      <c r="D83" s="22" t="inlineStr">
        <is>
          <t>Nutrition</t>
        </is>
      </c>
      <c r="E83" s="23" t="n">
        <v>2892000</v>
      </c>
      <c r="F83" s="23" t="n">
        <v>1925840.2</v>
      </c>
      <c r="G83" s="23" t="n">
        <v>966159.8</v>
      </c>
      <c r="H83" s="31" t="n">
        <v>0.6659</v>
      </c>
      <c r="I83" s="22" t="inlineStr">
        <is>
          <t>Within</t>
        </is>
      </c>
    </row>
    <row r="84">
      <c r="A84" s="22" t="inlineStr">
        <is>
          <t>PRJ-005</t>
        </is>
      </c>
      <c r="B84" s="22" t="inlineStr">
        <is>
          <t>Flood Response &amp; Health Recovery - Dadu</t>
        </is>
      </c>
      <c r="C84" s="22" t="inlineStr">
        <is>
          <t>FY2025-26</t>
        </is>
      </c>
      <c r="D84" s="22" t="inlineStr">
        <is>
          <t>Equipment</t>
        </is>
      </c>
      <c r="E84" s="23" t="n">
        <v>1133000</v>
      </c>
      <c r="F84" s="23" t="n">
        <v>0</v>
      </c>
      <c r="G84" s="23" t="n">
        <v>1133000</v>
      </c>
      <c r="H84" s="31" t="n">
        <v>0</v>
      </c>
      <c r="I84" s="22" t="inlineStr">
        <is>
          <t>Within</t>
        </is>
      </c>
    </row>
    <row r="85">
      <c r="A85" s="22" t="inlineStr">
        <is>
          <t>PRJ-005</t>
        </is>
      </c>
      <c r="B85" s="22" t="inlineStr">
        <is>
          <t>Flood Response &amp; Health Recovery - Dadu</t>
        </is>
      </c>
      <c r="C85" s="22" t="inlineStr">
        <is>
          <t>FY2025-26</t>
        </is>
      </c>
      <c r="D85" s="22" t="inlineStr">
        <is>
          <t>General Items</t>
        </is>
      </c>
      <c r="E85" s="23" t="n">
        <v>908000</v>
      </c>
      <c r="F85" s="23" t="n">
        <v>304957.22</v>
      </c>
      <c r="G85" s="23" t="n">
        <v>603042.78</v>
      </c>
      <c r="H85" s="31" t="n">
        <v>0.3359</v>
      </c>
      <c r="I85" s="22" t="inlineStr">
        <is>
          <t>Within</t>
        </is>
      </c>
    </row>
    <row r="86">
      <c r="A86" s="22" t="inlineStr">
        <is>
          <t>PRJ-005</t>
        </is>
      </c>
      <c r="B86" s="22" t="inlineStr">
        <is>
          <t>Flood Response &amp; Health Recovery - Dadu</t>
        </is>
      </c>
      <c r="C86" s="22" t="inlineStr">
        <is>
          <t>FY2025-26</t>
        </is>
      </c>
      <c r="D86" s="22" t="inlineStr">
        <is>
          <t>Laboratory</t>
        </is>
      </c>
      <c r="E86" s="23" t="n">
        <v>832000</v>
      </c>
      <c r="F86" s="23" t="n">
        <v>147938.45</v>
      </c>
      <c r="G86" s="23" t="n">
        <v>684061.55</v>
      </c>
      <c r="H86" s="31" t="n">
        <v>0.1778</v>
      </c>
      <c r="I86" s="22" t="inlineStr">
        <is>
          <t>Within</t>
        </is>
      </c>
    </row>
    <row r="87">
      <c r="A87" s="22" t="inlineStr">
        <is>
          <t>PRJ-005</t>
        </is>
      </c>
      <c r="B87" s="22" t="inlineStr">
        <is>
          <t>Flood Response &amp; Health Recovery - Dadu</t>
        </is>
      </c>
      <c r="C87" s="22" t="inlineStr">
        <is>
          <t>FY2025-26</t>
        </is>
      </c>
      <c r="D87" s="22" t="inlineStr">
        <is>
          <t>Medical Consumables</t>
        </is>
      </c>
      <c r="E87" s="23" t="n">
        <v>2187000</v>
      </c>
      <c r="F87" s="23" t="n">
        <v>1081533.08</v>
      </c>
      <c r="G87" s="23" t="n">
        <v>1105466.92</v>
      </c>
      <c r="H87" s="31" t="n">
        <v>0.4945</v>
      </c>
      <c r="I87" s="22" t="inlineStr">
        <is>
          <t>Within</t>
        </is>
      </c>
    </row>
    <row r="88">
      <c r="A88" s="22" t="inlineStr">
        <is>
          <t>PRJ-005</t>
        </is>
      </c>
      <c r="B88" s="22" t="inlineStr">
        <is>
          <t>Flood Response &amp; Health Recovery - Dadu</t>
        </is>
      </c>
      <c r="C88" s="22" t="inlineStr">
        <is>
          <t>FY2025-26</t>
        </is>
      </c>
      <c r="D88" s="22" t="inlineStr">
        <is>
          <t>Medicines</t>
        </is>
      </c>
      <c r="E88" s="23" t="n">
        <v>5085000</v>
      </c>
      <c r="F88" s="23" t="n">
        <v>1771727.46</v>
      </c>
      <c r="G88" s="23" t="n">
        <v>3313272.54</v>
      </c>
      <c r="H88" s="31" t="n">
        <v>0.3484</v>
      </c>
      <c r="I88" s="22" t="inlineStr">
        <is>
          <t>Within</t>
        </is>
      </c>
    </row>
    <row r="89">
      <c r="A89" s="22" t="inlineStr">
        <is>
          <t>PRJ-005</t>
        </is>
      </c>
      <c r="B89" s="22" t="inlineStr">
        <is>
          <t>Flood Response &amp; Health Recovery - Dadu</t>
        </is>
      </c>
      <c r="C89" s="22" t="inlineStr">
        <is>
          <t>FY2025-26</t>
        </is>
      </c>
      <c r="D89" s="22" t="inlineStr">
        <is>
          <t>Nutrition</t>
        </is>
      </c>
      <c r="E89" s="23" t="n">
        <v>2498000</v>
      </c>
      <c r="F89" s="23" t="n">
        <v>1355002.98</v>
      </c>
      <c r="G89" s="23" t="n">
        <v>1142997.02</v>
      </c>
      <c r="H89" s="31" t="n">
        <v>0.5424</v>
      </c>
      <c r="I89" s="22" t="inlineStr">
        <is>
          <t>Within</t>
        </is>
      </c>
    </row>
    <row r="90">
      <c r="A90" s="22" t="inlineStr">
        <is>
          <t>PRJ-005</t>
        </is>
      </c>
      <c r="B90" s="22" t="inlineStr">
        <is>
          <t>Flood Response &amp; Health Recovery - Dadu</t>
        </is>
      </c>
      <c r="C90" s="22" t="inlineStr">
        <is>
          <t>FY2026-27</t>
        </is>
      </c>
      <c r="D90" s="22" t="inlineStr">
        <is>
          <t>Equipment</t>
        </is>
      </c>
      <c r="E90" s="23" t="n">
        <v>547000</v>
      </c>
      <c r="F90" s="23" t="n">
        <v>0</v>
      </c>
      <c r="G90" s="23" t="n">
        <v>547000</v>
      </c>
      <c r="H90" s="31" t="n">
        <v>0</v>
      </c>
      <c r="I90" s="22" t="inlineStr">
        <is>
          <t>Within</t>
        </is>
      </c>
    </row>
    <row r="91">
      <c r="A91" s="22" t="inlineStr">
        <is>
          <t>PRJ-005</t>
        </is>
      </c>
      <c r="B91" s="22" t="inlineStr">
        <is>
          <t>Flood Response &amp; Health Recovery - Dadu</t>
        </is>
      </c>
      <c r="C91" s="22" t="inlineStr">
        <is>
          <t>FY2026-27</t>
        </is>
      </c>
      <c r="D91" s="22" t="inlineStr">
        <is>
          <t>General Items</t>
        </is>
      </c>
      <c r="E91" s="23" t="n">
        <v>478000</v>
      </c>
      <c r="F91" s="23" t="n">
        <v>0</v>
      </c>
      <c r="G91" s="23" t="n">
        <v>478000</v>
      </c>
      <c r="H91" s="31" t="n">
        <v>0</v>
      </c>
      <c r="I91" s="22" t="inlineStr">
        <is>
          <t>Within</t>
        </is>
      </c>
    </row>
    <row r="92">
      <c r="A92" s="22" t="inlineStr">
        <is>
          <t>PRJ-005</t>
        </is>
      </c>
      <c r="B92" s="22" t="inlineStr">
        <is>
          <t>Flood Response &amp; Health Recovery - Dadu</t>
        </is>
      </c>
      <c r="C92" s="22" t="inlineStr">
        <is>
          <t>FY2026-27</t>
        </is>
      </c>
      <c r="D92" s="22" t="inlineStr">
        <is>
          <t>Laboratory</t>
        </is>
      </c>
      <c r="E92" s="23" t="n">
        <v>469000</v>
      </c>
      <c r="F92" s="23" t="n">
        <v>0</v>
      </c>
      <c r="G92" s="23" t="n">
        <v>469000</v>
      </c>
      <c r="H92" s="31" t="n">
        <v>0</v>
      </c>
      <c r="I92" s="22" t="inlineStr">
        <is>
          <t>Within</t>
        </is>
      </c>
    </row>
    <row r="93">
      <c r="A93" s="22" t="inlineStr">
        <is>
          <t>PRJ-005</t>
        </is>
      </c>
      <c r="B93" s="22" t="inlineStr">
        <is>
          <t>Flood Response &amp; Health Recovery - Dadu</t>
        </is>
      </c>
      <c r="C93" s="22" t="inlineStr">
        <is>
          <t>FY2026-27</t>
        </is>
      </c>
      <c r="D93" s="22" t="inlineStr">
        <is>
          <t>Medical Consumables</t>
        </is>
      </c>
      <c r="E93" s="23" t="n">
        <v>1195000</v>
      </c>
      <c r="F93" s="23" t="n">
        <v>0</v>
      </c>
      <c r="G93" s="23" t="n">
        <v>1195000</v>
      </c>
      <c r="H93" s="31" t="n">
        <v>0</v>
      </c>
      <c r="I93" s="22" t="inlineStr">
        <is>
          <t>Within</t>
        </is>
      </c>
    </row>
    <row r="94">
      <c r="A94" s="22" t="inlineStr">
        <is>
          <t>PRJ-005</t>
        </is>
      </c>
      <c r="B94" s="22" t="inlineStr">
        <is>
          <t>Flood Response &amp; Health Recovery - Dadu</t>
        </is>
      </c>
      <c r="C94" s="22" t="inlineStr">
        <is>
          <t>FY2026-27</t>
        </is>
      </c>
      <c r="D94" s="22" t="inlineStr">
        <is>
          <t>Medicines</t>
        </is>
      </c>
      <c r="E94" s="23" t="n">
        <v>2485000</v>
      </c>
      <c r="F94" s="23" t="n">
        <v>0</v>
      </c>
      <c r="G94" s="23" t="n">
        <v>2485000</v>
      </c>
      <c r="H94" s="31" t="n">
        <v>0</v>
      </c>
      <c r="I94" s="22" t="inlineStr">
        <is>
          <t>Within</t>
        </is>
      </c>
    </row>
    <row r="95">
      <c r="A95" s="22" t="inlineStr">
        <is>
          <t>PRJ-005</t>
        </is>
      </c>
      <c r="B95" s="22" t="inlineStr">
        <is>
          <t>Flood Response &amp; Health Recovery - Dadu</t>
        </is>
      </c>
      <c r="C95" s="22" t="inlineStr">
        <is>
          <t>FY2026-27</t>
        </is>
      </c>
      <c r="D95" s="22" t="inlineStr">
        <is>
          <t>Nutrition</t>
        </is>
      </c>
      <c r="E95" s="23" t="n">
        <v>1215000</v>
      </c>
      <c r="F95" s="23" t="n">
        <v>0</v>
      </c>
      <c r="G95" s="23" t="n">
        <v>1215000</v>
      </c>
      <c r="H95" s="31" t="n">
        <v>0</v>
      </c>
      <c r="I95" s="22" t="inlineStr">
        <is>
          <t>Within</t>
        </is>
      </c>
    </row>
    <row r="96">
      <c r="A96" s="22" t="inlineStr">
        <is>
          <t>PRJ-006</t>
        </is>
      </c>
      <c r="B96" s="22" t="inlineStr">
        <is>
          <t>Rural Health Centre Strengthening - Jamshoro</t>
        </is>
      </c>
      <c r="C96" s="22" t="inlineStr">
        <is>
          <t>FY2024-25</t>
        </is>
      </c>
      <c r="D96" s="22" t="inlineStr">
        <is>
          <t>Equipment</t>
        </is>
      </c>
      <c r="E96" s="23" t="n">
        <v>929000</v>
      </c>
      <c r="F96" s="23" t="n">
        <v>14462.42</v>
      </c>
      <c r="G96" s="23" t="n">
        <v>914537.58</v>
      </c>
      <c r="H96" s="31" t="n">
        <v>0.0156</v>
      </c>
      <c r="I96" s="22" t="inlineStr">
        <is>
          <t>Within</t>
        </is>
      </c>
    </row>
    <row r="97">
      <c r="A97" s="22" t="inlineStr">
        <is>
          <t>PRJ-006</t>
        </is>
      </c>
      <c r="B97" s="22" t="inlineStr">
        <is>
          <t>Rural Health Centre Strengthening - Jamshoro</t>
        </is>
      </c>
      <c r="C97" s="22" t="inlineStr">
        <is>
          <t>FY2024-25</t>
        </is>
      </c>
      <c r="D97" s="22" t="inlineStr">
        <is>
          <t>General Items</t>
        </is>
      </c>
      <c r="E97" s="23" t="n">
        <v>786000</v>
      </c>
      <c r="F97" s="23" t="n">
        <v>222345.58</v>
      </c>
      <c r="G97" s="23" t="n">
        <v>563654.42</v>
      </c>
      <c r="H97" s="31" t="n">
        <v>0.2829</v>
      </c>
      <c r="I97" s="22" t="inlineStr">
        <is>
          <t>Within</t>
        </is>
      </c>
    </row>
    <row r="98">
      <c r="A98" s="22" t="inlineStr">
        <is>
          <t>PRJ-006</t>
        </is>
      </c>
      <c r="B98" s="22" t="inlineStr">
        <is>
          <t>Rural Health Centre Strengthening - Jamshoro</t>
        </is>
      </c>
      <c r="C98" s="22" t="inlineStr">
        <is>
          <t>FY2024-25</t>
        </is>
      </c>
      <c r="D98" s="22" t="inlineStr">
        <is>
          <t>Laboratory</t>
        </is>
      </c>
      <c r="E98" s="23" t="n">
        <v>871000</v>
      </c>
      <c r="F98" s="23" t="n">
        <v>181022.97</v>
      </c>
      <c r="G98" s="23" t="n">
        <v>689977.03</v>
      </c>
      <c r="H98" s="31" t="n">
        <v>0.2078</v>
      </c>
      <c r="I98" s="22" t="inlineStr">
        <is>
          <t>Within</t>
        </is>
      </c>
    </row>
    <row r="99">
      <c r="A99" s="22" t="inlineStr">
        <is>
          <t>PRJ-006</t>
        </is>
      </c>
      <c r="B99" s="22" t="inlineStr">
        <is>
          <t>Rural Health Centre Strengthening - Jamshoro</t>
        </is>
      </c>
      <c r="C99" s="22" t="inlineStr">
        <is>
          <t>FY2024-25</t>
        </is>
      </c>
      <c r="D99" s="22" t="inlineStr">
        <is>
          <t>Medical Consumables</t>
        </is>
      </c>
      <c r="E99" s="23" t="n">
        <v>2265000</v>
      </c>
      <c r="F99" s="23" t="n">
        <v>1127076.17</v>
      </c>
      <c r="G99" s="23" t="n">
        <v>1137923.83</v>
      </c>
      <c r="H99" s="31" t="n">
        <v>0.4976</v>
      </c>
      <c r="I99" s="22" t="inlineStr">
        <is>
          <t>Within</t>
        </is>
      </c>
    </row>
    <row r="100">
      <c r="A100" s="22" t="inlineStr">
        <is>
          <t>PRJ-006</t>
        </is>
      </c>
      <c r="B100" s="22" t="inlineStr">
        <is>
          <t>Rural Health Centre Strengthening - Jamshoro</t>
        </is>
      </c>
      <c r="C100" s="22" t="inlineStr">
        <is>
          <t>FY2024-25</t>
        </is>
      </c>
      <c r="D100" s="22" t="inlineStr">
        <is>
          <t>Medicines</t>
        </is>
      </c>
      <c r="E100" s="23" t="n">
        <v>4444000</v>
      </c>
      <c r="F100" s="23" t="n">
        <v>1296381.65</v>
      </c>
      <c r="G100" s="23" t="n">
        <v>3147618.35</v>
      </c>
      <c r="H100" s="31" t="n">
        <v>0.2917</v>
      </c>
      <c r="I100" s="22" t="inlineStr">
        <is>
          <t>Within</t>
        </is>
      </c>
    </row>
    <row r="101">
      <c r="A101" s="22" t="inlineStr">
        <is>
          <t>PRJ-006</t>
        </is>
      </c>
      <c r="B101" s="22" t="inlineStr">
        <is>
          <t>Rural Health Centre Strengthening - Jamshoro</t>
        </is>
      </c>
      <c r="C101" s="22" t="inlineStr">
        <is>
          <t>FY2024-25</t>
        </is>
      </c>
      <c r="D101" s="22" t="inlineStr">
        <is>
          <t>Nutrition</t>
        </is>
      </c>
      <c r="E101" s="23" t="n">
        <v>2436000</v>
      </c>
      <c r="F101" s="23" t="n">
        <v>909436.14</v>
      </c>
      <c r="G101" s="23" t="n">
        <v>1526563.86</v>
      </c>
      <c r="H101" s="31" t="n">
        <v>0.3733</v>
      </c>
      <c r="I101" s="22" t="inlineStr">
        <is>
          <t>Within</t>
        </is>
      </c>
    </row>
    <row r="102">
      <c r="A102" s="22" t="inlineStr">
        <is>
          <t>PRJ-006</t>
        </is>
      </c>
      <c r="B102" s="22" t="inlineStr">
        <is>
          <t>Rural Health Centre Strengthening - Jamshoro</t>
        </is>
      </c>
      <c r="C102" s="22" t="inlineStr">
        <is>
          <t>FY2025-26</t>
        </is>
      </c>
      <c r="D102" s="22" t="inlineStr">
        <is>
          <t>Equipment</t>
        </is>
      </c>
      <c r="E102" s="23" t="n">
        <v>925000</v>
      </c>
      <c r="F102" s="23" t="n">
        <v>0</v>
      </c>
      <c r="G102" s="23" t="n">
        <v>925000</v>
      </c>
      <c r="H102" s="31" t="n">
        <v>0</v>
      </c>
      <c r="I102" s="22" t="inlineStr">
        <is>
          <t>Within</t>
        </is>
      </c>
    </row>
    <row r="103">
      <c r="A103" s="22" t="inlineStr">
        <is>
          <t>PRJ-006</t>
        </is>
      </c>
      <c r="B103" s="22" t="inlineStr">
        <is>
          <t>Rural Health Centre Strengthening - Jamshoro</t>
        </is>
      </c>
      <c r="C103" s="22" t="inlineStr">
        <is>
          <t>FY2025-26</t>
        </is>
      </c>
      <c r="D103" s="22" t="inlineStr">
        <is>
          <t>General Items</t>
        </is>
      </c>
      <c r="E103" s="23" t="n">
        <v>784000</v>
      </c>
      <c r="F103" s="23" t="n">
        <v>524714.62</v>
      </c>
      <c r="G103" s="23" t="n">
        <v>259285.38</v>
      </c>
      <c r="H103" s="31" t="n">
        <v>0.6693</v>
      </c>
      <c r="I103" s="22" t="inlineStr">
        <is>
          <t>Within</t>
        </is>
      </c>
    </row>
    <row r="104">
      <c r="A104" s="22" t="inlineStr">
        <is>
          <t>PRJ-006</t>
        </is>
      </c>
      <c r="B104" s="22" t="inlineStr">
        <is>
          <t>Rural Health Centre Strengthening - Jamshoro</t>
        </is>
      </c>
      <c r="C104" s="22" t="inlineStr">
        <is>
          <t>FY2025-26</t>
        </is>
      </c>
      <c r="D104" s="22" t="inlineStr">
        <is>
          <t>Laboratory</t>
        </is>
      </c>
      <c r="E104" s="23" t="n">
        <v>748000</v>
      </c>
      <c r="F104" s="23" t="n">
        <v>351714.79</v>
      </c>
      <c r="G104" s="23" t="n">
        <v>396285.21</v>
      </c>
      <c r="H104" s="31" t="n">
        <v>0.4702</v>
      </c>
      <c r="I104" s="22" t="inlineStr">
        <is>
          <t>Within</t>
        </is>
      </c>
    </row>
    <row r="105">
      <c r="A105" s="22" t="inlineStr">
        <is>
          <t>PRJ-006</t>
        </is>
      </c>
      <c r="B105" s="22" t="inlineStr">
        <is>
          <t>Rural Health Centre Strengthening - Jamshoro</t>
        </is>
      </c>
      <c r="C105" s="22" t="inlineStr">
        <is>
          <t>FY2025-26</t>
        </is>
      </c>
      <c r="D105" s="22" t="inlineStr">
        <is>
          <t>Medical Consumables</t>
        </is>
      </c>
      <c r="E105" s="23" t="n">
        <v>1961000</v>
      </c>
      <c r="F105" s="23" t="n">
        <v>3007815.31</v>
      </c>
      <c r="G105" s="23" t="n">
        <v>-1046815.31</v>
      </c>
      <c r="H105" s="31" t="n">
        <v>1.5338</v>
      </c>
      <c r="I105" s="22" t="inlineStr">
        <is>
          <t>Over budget</t>
        </is>
      </c>
    </row>
    <row r="106">
      <c r="A106" s="22" t="inlineStr">
        <is>
          <t>PRJ-006</t>
        </is>
      </c>
      <c r="B106" s="22" t="inlineStr">
        <is>
          <t>Rural Health Centre Strengthening - Jamshoro</t>
        </is>
      </c>
      <c r="C106" s="22" t="inlineStr">
        <is>
          <t>FY2025-26</t>
        </is>
      </c>
      <c r="D106" s="22" t="inlineStr">
        <is>
          <t>Medicines</t>
        </is>
      </c>
      <c r="E106" s="23" t="n">
        <v>4253000</v>
      </c>
      <c r="F106" s="23" t="n">
        <v>3307994.18</v>
      </c>
      <c r="G106" s="23" t="n">
        <v>945005.8199999999</v>
      </c>
      <c r="H106" s="31" t="n">
        <v>0.7778</v>
      </c>
      <c r="I106" s="22" t="inlineStr">
        <is>
          <t>Within</t>
        </is>
      </c>
    </row>
    <row r="107">
      <c r="A107" s="22" t="inlineStr">
        <is>
          <t>PRJ-006</t>
        </is>
      </c>
      <c r="B107" s="22" t="inlineStr">
        <is>
          <t>Rural Health Centre Strengthening - Jamshoro</t>
        </is>
      </c>
      <c r="C107" s="22" t="inlineStr">
        <is>
          <t>FY2025-26</t>
        </is>
      </c>
      <c r="D107" s="22" t="inlineStr">
        <is>
          <t>Nutrition</t>
        </is>
      </c>
      <c r="E107" s="23" t="n">
        <v>2038000</v>
      </c>
      <c r="F107" s="23" t="n">
        <v>1629091.52</v>
      </c>
      <c r="G107" s="23" t="n">
        <v>408908.48</v>
      </c>
      <c r="H107" s="31" t="n">
        <v>0.7994</v>
      </c>
      <c r="I107" s="22" t="inlineStr">
        <is>
          <t>Within</t>
        </is>
      </c>
    </row>
    <row r="108">
      <c r="A108" s="22" t="inlineStr">
        <is>
          <t>PRJ-006</t>
        </is>
      </c>
      <c r="B108" s="22" t="inlineStr">
        <is>
          <t>Rural Health Centre Strengthening - Jamshoro</t>
        </is>
      </c>
      <c r="C108" s="22" t="inlineStr">
        <is>
          <t>FY2026-27</t>
        </is>
      </c>
      <c r="D108" s="22" t="inlineStr">
        <is>
          <t>Equipment</t>
        </is>
      </c>
      <c r="E108" s="23" t="n">
        <v>448000</v>
      </c>
      <c r="F108" s="23" t="n">
        <v>0</v>
      </c>
      <c r="G108" s="23" t="n">
        <v>448000</v>
      </c>
      <c r="H108" s="31" t="n">
        <v>0</v>
      </c>
      <c r="I108" s="22" t="inlineStr">
        <is>
          <t>Within</t>
        </is>
      </c>
    </row>
    <row r="109">
      <c r="A109" s="22" t="inlineStr">
        <is>
          <t>PRJ-006</t>
        </is>
      </c>
      <c r="B109" s="22" t="inlineStr">
        <is>
          <t>Rural Health Centre Strengthening - Jamshoro</t>
        </is>
      </c>
      <c r="C109" s="22" t="inlineStr">
        <is>
          <t>FY2026-27</t>
        </is>
      </c>
      <c r="D109" s="22" t="inlineStr">
        <is>
          <t>General Items</t>
        </is>
      </c>
      <c r="E109" s="23" t="n">
        <v>375000</v>
      </c>
      <c r="F109" s="23" t="n">
        <v>109039.82</v>
      </c>
      <c r="G109" s="23" t="n">
        <v>265960.18</v>
      </c>
      <c r="H109" s="31" t="n">
        <v>0.2908</v>
      </c>
      <c r="I109" s="22" t="inlineStr">
        <is>
          <t>Within</t>
        </is>
      </c>
    </row>
    <row r="110">
      <c r="A110" s="22" t="inlineStr">
        <is>
          <t>PRJ-006</t>
        </is>
      </c>
      <c r="B110" s="22" t="inlineStr">
        <is>
          <t>Rural Health Centre Strengthening - Jamshoro</t>
        </is>
      </c>
      <c r="C110" s="22" t="inlineStr">
        <is>
          <t>FY2026-27</t>
        </is>
      </c>
      <c r="D110" s="22" t="inlineStr">
        <is>
          <t>Laboratory</t>
        </is>
      </c>
      <c r="E110" s="23" t="n">
        <v>400000</v>
      </c>
      <c r="F110" s="23" t="n">
        <v>157252.35</v>
      </c>
      <c r="G110" s="23" t="n">
        <v>242747.65</v>
      </c>
      <c r="H110" s="31" t="n">
        <v>0.3931</v>
      </c>
      <c r="I110" s="22" t="inlineStr">
        <is>
          <t>Within</t>
        </is>
      </c>
    </row>
    <row r="111">
      <c r="A111" s="22" t="inlineStr">
        <is>
          <t>PRJ-006</t>
        </is>
      </c>
      <c r="B111" s="22" t="inlineStr">
        <is>
          <t>Rural Health Centre Strengthening - Jamshoro</t>
        </is>
      </c>
      <c r="C111" s="22" t="inlineStr">
        <is>
          <t>FY2026-27</t>
        </is>
      </c>
      <c r="D111" s="22" t="inlineStr">
        <is>
          <t>Medical Consumables</t>
        </is>
      </c>
      <c r="E111" s="23" t="n">
        <v>1037000</v>
      </c>
      <c r="F111" s="23" t="n">
        <v>992691.52</v>
      </c>
      <c r="G111" s="23" t="n">
        <v>44308.48</v>
      </c>
      <c r="H111" s="31" t="n">
        <v>0.9573</v>
      </c>
      <c r="I111" s="22" t="inlineStr">
        <is>
          <t>Watch</t>
        </is>
      </c>
    </row>
    <row r="112">
      <c r="A112" s="22" t="inlineStr">
        <is>
          <t>PRJ-006</t>
        </is>
      </c>
      <c r="B112" s="22" t="inlineStr">
        <is>
          <t>Rural Health Centre Strengthening - Jamshoro</t>
        </is>
      </c>
      <c r="C112" s="22" t="inlineStr">
        <is>
          <t>FY2026-27</t>
        </is>
      </c>
      <c r="D112" s="22" t="inlineStr">
        <is>
          <t>Medicines</t>
        </is>
      </c>
      <c r="E112" s="23" t="n">
        <v>2216000</v>
      </c>
      <c r="F112" s="23" t="n">
        <v>607322.27</v>
      </c>
      <c r="G112" s="23" t="n">
        <v>1608677.73</v>
      </c>
      <c r="H112" s="31" t="n">
        <v>0.2741</v>
      </c>
      <c r="I112" s="22" t="inlineStr">
        <is>
          <t>Within</t>
        </is>
      </c>
    </row>
    <row r="113">
      <c r="A113" s="22" t="inlineStr">
        <is>
          <t>PRJ-006</t>
        </is>
      </c>
      <c r="B113" s="22" t="inlineStr">
        <is>
          <t>Rural Health Centre Strengthening - Jamshoro</t>
        </is>
      </c>
      <c r="C113" s="22" t="inlineStr">
        <is>
          <t>FY2026-27</t>
        </is>
      </c>
      <c r="D113" s="22" t="inlineStr">
        <is>
          <t>Nutrition</t>
        </is>
      </c>
      <c r="E113" s="23" t="n">
        <v>1057000</v>
      </c>
      <c r="F113" s="23" t="n">
        <v>532962.42</v>
      </c>
      <c r="G113" s="23" t="n">
        <v>524037.58</v>
      </c>
      <c r="H113" s="31" t="n">
        <v>0.5042</v>
      </c>
      <c r="I113" s="22" t="inlineStr">
        <is>
          <t>Within</t>
        </is>
      </c>
    </row>
    <row r="114">
      <c r="A114" s="22" t="inlineStr">
        <is>
          <t>PRJ-007</t>
        </is>
      </c>
      <c r="B114" s="22" t="inlineStr">
        <is>
          <t>Community Health Worker Programme - Bin Qasim</t>
        </is>
      </c>
      <c r="C114" s="22" t="inlineStr">
        <is>
          <t>FY2024-25</t>
        </is>
      </c>
      <c r="D114" s="22" t="inlineStr">
        <is>
          <t>Equipment</t>
        </is>
      </c>
      <c r="E114" s="23" t="n">
        <v>702000</v>
      </c>
      <c r="F114" s="23" t="n">
        <v>0</v>
      </c>
      <c r="G114" s="23" t="n">
        <v>702000</v>
      </c>
      <c r="H114" s="31" t="n">
        <v>0</v>
      </c>
      <c r="I114" s="22" t="inlineStr">
        <is>
          <t>Within</t>
        </is>
      </c>
    </row>
    <row r="115">
      <c r="A115" s="22" t="inlineStr">
        <is>
          <t>PRJ-007</t>
        </is>
      </c>
      <c r="B115" s="22" t="inlineStr">
        <is>
          <t>Community Health Worker Programme - Bin Qasim</t>
        </is>
      </c>
      <c r="C115" s="22" t="inlineStr">
        <is>
          <t>FY2024-25</t>
        </is>
      </c>
      <c r="D115" s="22" t="inlineStr">
        <is>
          <t>General Items</t>
        </is>
      </c>
      <c r="E115" s="23" t="n">
        <v>617000</v>
      </c>
      <c r="F115" s="23" t="n">
        <v>575714.73</v>
      </c>
      <c r="G115" s="23" t="n">
        <v>41285.27</v>
      </c>
      <c r="H115" s="31" t="n">
        <v>0.9331</v>
      </c>
      <c r="I115" s="22" t="inlineStr">
        <is>
          <t>Watch</t>
        </is>
      </c>
    </row>
    <row r="116">
      <c r="A116" s="22" t="inlineStr">
        <is>
          <t>PRJ-007</t>
        </is>
      </c>
      <c r="B116" s="22" t="inlineStr">
        <is>
          <t>Community Health Worker Programme - Bin Qasim</t>
        </is>
      </c>
      <c r="C116" s="22" t="inlineStr">
        <is>
          <t>FY2024-25</t>
        </is>
      </c>
      <c r="D116" s="22" t="inlineStr">
        <is>
          <t>Laboratory</t>
        </is>
      </c>
      <c r="E116" s="23" t="n">
        <v>592000</v>
      </c>
      <c r="F116" s="23" t="n">
        <v>179051.77</v>
      </c>
      <c r="G116" s="23" t="n">
        <v>412948.23</v>
      </c>
      <c r="H116" s="31" t="n">
        <v>0.3025</v>
      </c>
      <c r="I116" s="22" t="inlineStr">
        <is>
          <t>Within</t>
        </is>
      </c>
    </row>
    <row r="117">
      <c r="A117" s="22" t="inlineStr">
        <is>
          <t>PRJ-007</t>
        </is>
      </c>
      <c r="B117" s="22" t="inlineStr">
        <is>
          <t>Community Health Worker Programme - Bin Qasim</t>
        </is>
      </c>
      <c r="C117" s="22" t="inlineStr">
        <is>
          <t>FY2024-25</t>
        </is>
      </c>
      <c r="D117" s="22" t="inlineStr">
        <is>
          <t>Medical Consumables</t>
        </is>
      </c>
      <c r="E117" s="23" t="n">
        <v>1523000</v>
      </c>
      <c r="F117" s="23" t="n">
        <v>1464247.89</v>
      </c>
      <c r="G117" s="23" t="n">
        <v>58752.11</v>
      </c>
      <c r="H117" s="31" t="n">
        <v>0.9614</v>
      </c>
      <c r="I117" s="22" t="inlineStr">
        <is>
          <t>Watch</t>
        </is>
      </c>
    </row>
    <row r="118">
      <c r="A118" s="22" t="inlineStr">
        <is>
          <t>PRJ-007</t>
        </is>
      </c>
      <c r="B118" s="22" t="inlineStr">
        <is>
          <t>Community Health Worker Programme - Bin Qasim</t>
        </is>
      </c>
      <c r="C118" s="22" t="inlineStr">
        <is>
          <t>FY2024-25</t>
        </is>
      </c>
      <c r="D118" s="22" t="inlineStr">
        <is>
          <t>Medicines</t>
        </is>
      </c>
      <c r="E118" s="23" t="n">
        <v>3175000</v>
      </c>
      <c r="F118" s="23" t="n">
        <v>1664886.92</v>
      </c>
      <c r="G118" s="23" t="n">
        <v>1510113.08</v>
      </c>
      <c r="H118" s="31" t="n">
        <v>0.5244</v>
      </c>
      <c r="I118" s="22" t="inlineStr">
        <is>
          <t>Within</t>
        </is>
      </c>
    </row>
    <row r="119">
      <c r="A119" s="22" t="inlineStr">
        <is>
          <t>PRJ-007</t>
        </is>
      </c>
      <c r="B119" s="22" t="inlineStr">
        <is>
          <t>Community Health Worker Programme - Bin Qasim</t>
        </is>
      </c>
      <c r="C119" s="22" t="inlineStr">
        <is>
          <t>FY2024-25</t>
        </is>
      </c>
      <c r="D119" s="22" t="inlineStr">
        <is>
          <t>Nutrition</t>
        </is>
      </c>
      <c r="E119" s="23" t="n">
        <v>1596000</v>
      </c>
      <c r="F119" s="23" t="n">
        <v>2187959.02</v>
      </c>
      <c r="G119" s="23" t="n">
        <v>-591959.02</v>
      </c>
      <c r="H119" s="31" t="n">
        <v>1.3709</v>
      </c>
      <c r="I119" s="22" t="inlineStr">
        <is>
          <t>Over budget</t>
        </is>
      </c>
    </row>
    <row r="120">
      <c r="A120" s="22" t="inlineStr">
        <is>
          <t>PRJ-007</t>
        </is>
      </c>
      <c r="B120" s="22" t="inlineStr">
        <is>
          <t>Community Health Worker Programme - Bin Qasim</t>
        </is>
      </c>
      <c r="C120" s="22" t="inlineStr">
        <is>
          <t>FY2025-26</t>
        </is>
      </c>
      <c r="D120" s="22" t="inlineStr">
        <is>
          <t>Equipment</t>
        </is>
      </c>
      <c r="E120" s="23" t="n">
        <v>654000</v>
      </c>
      <c r="F120" s="23" t="n">
        <v>0</v>
      </c>
      <c r="G120" s="23" t="n">
        <v>654000</v>
      </c>
      <c r="H120" s="31" t="n">
        <v>0</v>
      </c>
      <c r="I120" s="22" t="inlineStr">
        <is>
          <t>Within</t>
        </is>
      </c>
    </row>
    <row r="121">
      <c r="A121" s="22" t="inlineStr">
        <is>
          <t>PRJ-007</t>
        </is>
      </c>
      <c r="B121" s="22" t="inlineStr">
        <is>
          <t>Community Health Worker Programme - Bin Qasim</t>
        </is>
      </c>
      <c r="C121" s="22" t="inlineStr">
        <is>
          <t>FY2025-26</t>
        </is>
      </c>
      <c r="D121" s="22" t="inlineStr">
        <is>
          <t>General Items</t>
        </is>
      </c>
      <c r="E121" s="23" t="n">
        <v>559000</v>
      </c>
      <c r="F121" s="23" t="n">
        <v>754636.3100000001</v>
      </c>
      <c r="G121" s="23" t="n">
        <v>-195636.31</v>
      </c>
      <c r="H121" s="31" t="n">
        <v>1.35</v>
      </c>
      <c r="I121" s="22" t="inlineStr">
        <is>
          <t>Over budget</t>
        </is>
      </c>
    </row>
    <row r="122">
      <c r="A122" s="22" t="inlineStr">
        <is>
          <t>PRJ-007</t>
        </is>
      </c>
      <c r="B122" s="22" t="inlineStr">
        <is>
          <t>Community Health Worker Programme - Bin Qasim</t>
        </is>
      </c>
      <c r="C122" s="22" t="inlineStr">
        <is>
          <t>FY2025-26</t>
        </is>
      </c>
      <c r="D122" s="22" t="inlineStr">
        <is>
          <t>Laboratory</t>
        </is>
      </c>
      <c r="E122" s="23" t="n">
        <v>556000</v>
      </c>
      <c r="F122" s="23" t="n">
        <v>195019.07</v>
      </c>
      <c r="G122" s="23" t="n">
        <v>360980.93</v>
      </c>
      <c r="H122" s="31" t="n">
        <v>0.3508</v>
      </c>
      <c r="I122" s="22" t="inlineStr">
        <is>
          <t>Within</t>
        </is>
      </c>
    </row>
    <row r="123">
      <c r="A123" s="22" t="inlineStr">
        <is>
          <t>PRJ-007</t>
        </is>
      </c>
      <c r="B123" s="22" t="inlineStr">
        <is>
          <t>Community Health Worker Programme - Bin Qasim</t>
        </is>
      </c>
      <c r="C123" s="22" t="inlineStr">
        <is>
          <t>FY2025-26</t>
        </is>
      </c>
      <c r="D123" s="22" t="inlineStr">
        <is>
          <t>Medical Consumables</t>
        </is>
      </c>
      <c r="E123" s="23" t="n">
        <v>1400000</v>
      </c>
      <c r="F123" s="23" t="n">
        <v>1917956.81</v>
      </c>
      <c r="G123" s="23" t="n">
        <v>-517956.81</v>
      </c>
      <c r="H123" s="31" t="n">
        <v>1.37</v>
      </c>
      <c r="I123" s="22" t="inlineStr">
        <is>
          <t>Over budget</t>
        </is>
      </c>
    </row>
    <row r="124">
      <c r="A124" s="22" t="inlineStr">
        <is>
          <t>PRJ-007</t>
        </is>
      </c>
      <c r="B124" s="22" t="inlineStr">
        <is>
          <t>Community Health Worker Programme - Bin Qasim</t>
        </is>
      </c>
      <c r="C124" s="22" t="inlineStr">
        <is>
          <t>FY2025-26</t>
        </is>
      </c>
      <c r="D124" s="22" t="inlineStr">
        <is>
          <t>Medicines</t>
        </is>
      </c>
      <c r="E124" s="23" t="n">
        <v>2985000</v>
      </c>
      <c r="F124" s="23" t="n">
        <v>2084437.15</v>
      </c>
      <c r="G124" s="23" t="n">
        <v>900562.85</v>
      </c>
      <c r="H124" s="31" t="n">
        <v>0.6983</v>
      </c>
      <c r="I124" s="22" t="inlineStr">
        <is>
          <t>Within</t>
        </is>
      </c>
    </row>
    <row r="125">
      <c r="A125" s="22" t="inlineStr">
        <is>
          <t>PRJ-007</t>
        </is>
      </c>
      <c r="B125" s="22" t="inlineStr">
        <is>
          <t>Community Health Worker Programme - Bin Qasim</t>
        </is>
      </c>
      <c r="C125" s="22" t="inlineStr">
        <is>
          <t>FY2025-26</t>
        </is>
      </c>
      <c r="D125" s="22" t="inlineStr">
        <is>
          <t>Nutrition</t>
        </is>
      </c>
      <c r="E125" s="23" t="n">
        <v>1498000</v>
      </c>
      <c r="F125" s="23" t="n">
        <v>2083694.12</v>
      </c>
      <c r="G125" s="23" t="n">
        <v>-585694.12</v>
      </c>
      <c r="H125" s="31" t="n">
        <v>1.391</v>
      </c>
      <c r="I125" s="22" t="inlineStr">
        <is>
          <t>Over budget</t>
        </is>
      </c>
    </row>
    <row r="126">
      <c r="A126" s="22" t="inlineStr">
        <is>
          <t>PRJ-007</t>
        </is>
      </c>
      <c r="B126" s="22" t="inlineStr">
        <is>
          <t>Community Health Worker Programme - Bin Qasim</t>
        </is>
      </c>
      <c r="C126" s="22" t="inlineStr">
        <is>
          <t>FY2026-27</t>
        </is>
      </c>
      <c r="D126" s="22" t="inlineStr">
        <is>
          <t>Equipment</t>
        </is>
      </c>
      <c r="E126" s="23" t="n">
        <v>344000</v>
      </c>
      <c r="F126" s="23" t="n">
        <v>0</v>
      </c>
      <c r="G126" s="23" t="n">
        <v>344000</v>
      </c>
      <c r="H126" s="31" t="n">
        <v>0</v>
      </c>
      <c r="I126" s="22" t="inlineStr">
        <is>
          <t>Within</t>
        </is>
      </c>
    </row>
    <row r="127">
      <c r="A127" s="22" t="inlineStr">
        <is>
          <t>PRJ-007</t>
        </is>
      </c>
      <c r="B127" s="22" t="inlineStr">
        <is>
          <t>Community Health Worker Programme - Bin Qasim</t>
        </is>
      </c>
      <c r="C127" s="22" t="inlineStr">
        <is>
          <t>FY2026-27</t>
        </is>
      </c>
      <c r="D127" s="22" t="inlineStr">
        <is>
          <t>General Items</t>
        </is>
      </c>
      <c r="E127" s="23" t="n">
        <v>265000</v>
      </c>
      <c r="F127" s="23" t="n">
        <v>0</v>
      </c>
      <c r="G127" s="23" t="n">
        <v>265000</v>
      </c>
      <c r="H127" s="31" t="n">
        <v>0</v>
      </c>
      <c r="I127" s="22" t="inlineStr">
        <is>
          <t>Within</t>
        </is>
      </c>
    </row>
    <row r="128">
      <c r="A128" s="22" t="inlineStr">
        <is>
          <t>PRJ-007</t>
        </is>
      </c>
      <c r="B128" s="22" t="inlineStr">
        <is>
          <t>Community Health Worker Programme - Bin Qasim</t>
        </is>
      </c>
      <c r="C128" s="22" t="inlineStr">
        <is>
          <t>FY2026-27</t>
        </is>
      </c>
      <c r="D128" s="22" t="inlineStr">
        <is>
          <t>Laboratory</t>
        </is>
      </c>
      <c r="E128" s="23" t="n">
        <v>281000</v>
      </c>
      <c r="F128" s="23" t="n">
        <v>0</v>
      </c>
      <c r="G128" s="23" t="n">
        <v>281000</v>
      </c>
      <c r="H128" s="31" t="n">
        <v>0</v>
      </c>
      <c r="I128" s="22" t="inlineStr">
        <is>
          <t>Within</t>
        </is>
      </c>
    </row>
    <row r="129">
      <c r="A129" s="22" t="inlineStr">
        <is>
          <t>PRJ-007</t>
        </is>
      </c>
      <c r="B129" s="22" t="inlineStr">
        <is>
          <t>Community Health Worker Programme - Bin Qasim</t>
        </is>
      </c>
      <c r="C129" s="22" t="inlineStr">
        <is>
          <t>FY2026-27</t>
        </is>
      </c>
      <c r="D129" s="22" t="inlineStr">
        <is>
          <t>Medical Consumables</t>
        </is>
      </c>
      <c r="E129" s="23" t="n">
        <v>692000</v>
      </c>
      <c r="F129" s="23" t="n">
        <v>0</v>
      </c>
      <c r="G129" s="23" t="n">
        <v>692000</v>
      </c>
      <c r="H129" s="31" t="n">
        <v>0</v>
      </c>
      <c r="I129" s="22" t="inlineStr">
        <is>
          <t>Within</t>
        </is>
      </c>
    </row>
    <row r="130">
      <c r="A130" s="22" t="inlineStr">
        <is>
          <t>PRJ-007</t>
        </is>
      </c>
      <c r="B130" s="22" t="inlineStr">
        <is>
          <t>Community Health Worker Programme - Bin Qasim</t>
        </is>
      </c>
      <c r="C130" s="22" t="inlineStr">
        <is>
          <t>FY2026-27</t>
        </is>
      </c>
      <c r="D130" s="22" t="inlineStr">
        <is>
          <t>Medicines</t>
        </is>
      </c>
      <c r="E130" s="23" t="n">
        <v>1391000</v>
      </c>
      <c r="F130" s="23" t="n">
        <v>0</v>
      </c>
      <c r="G130" s="23" t="n">
        <v>1391000</v>
      </c>
      <c r="H130" s="31" t="n">
        <v>0</v>
      </c>
      <c r="I130" s="22" t="inlineStr">
        <is>
          <t>Within</t>
        </is>
      </c>
    </row>
    <row r="131">
      <c r="A131" s="22" t="inlineStr">
        <is>
          <t>PRJ-007</t>
        </is>
      </c>
      <c r="B131" s="22" t="inlineStr">
        <is>
          <t>Community Health Worker Programme - Bin Qasim</t>
        </is>
      </c>
      <c r="C131" s="22" t="inlineStr">
        <is>
          <t>FY2026-27</t>
        </is>
      </c>
      <c r="D131" s="22" t="inlineStr">
        <is>
          <t>Nutrition</t>
        </is>
      </c>
      <c r="E131" s="23" t="n">
        <v>796000</v>
      </c>
      <c r="F131" s="23" t="n">
        <v>0</v>
      </c>
      <c r="G131" s="23" t="n">
        <v>796000</v>
      </c>
      <c r="H131" s="31" t="n">
        <v>0</v>
      </c>
      <c r="I131" s="22" t="inlineStr">
        <is>
          <t>Within</t>
        </is>
      </c>
    </row>
    <row r="132">
      <c r="A132" s="22" t="inlineStr">
        <is>
          <t>PRJ-008</t>
        </is>
      </c>
      <c r="B132" s="22" t="inlineStr">
        <is>
          <t>Emergency Obstetric Care - Lyari</t>
        </is>
      </c>
      <c r="C132" s="22" t="inlineStr">
        <is>
          <t>FY2024-25</t>
        </is>
      </c>
      <c r="D132" s="22" t="inlineStr">
        <is>
          <t>Equipment</t>
        </is>
      </c>
      <c r="E132" s="23" t="n">
        <v>877000</v>
      </c>
      <c r="F132" s="23" t="n">
        <v>0</v>
      </c>
      <c r="G132" s="23" t="n">
        <v>877000</v>
      </c>
      <c r="H132" s="31" t="n">
        <v>0</v>
      </c>
      <c r="I132" s="22" t="inlineStr">
        <is>
          <t>Within</t>
        </is>
      </c>
    </row>
    <row r="133">
      <c r="A133" s="22" t="inlineStr">
        <is>
          <t>PRJ-008</t>
        </is>
      </c>
      <c r="B133" s="22" t="inlineStr">
        <is>
          <t>Emergency Obstetric Care - Lyari</t>
        </is>
      </c>
      <c r="C133" s="22" t="inlineStr">
        <is>
          <t>FY2024-25</t>
        </is>
      </c>
      <c r="D133" s="22" t="inlineStr">
        <is>
          <t>General Items</t>
        </is>
      </c>
      <c r="E133" s="23" t="n">
        <v>670000</v>
      </c>
      <c r="F133" s="23" t="n">
        <v>174598.31</v>
      </c>
      <c r="G133" s="23" t="n">
        <v>495401.69</v>
      </c>
      <c r="H133" s="31" t="n">
        <v>0.2606</v>
      </c>
      <c r="I133" s="22" t="inlineStr">
        <is>
          <t>Within</t>
        </is>
      </c>
    </row>
    <row r="134">
      <c r="A134" s="22" t="inlineStr">
        <is>
          <t>PRJ-008</t>
        </is>
      </c>
      <c r="B134" s="22" t="inlineStr">
        <is>
          <t>Emergency Obstetric Care - Lyari</t>
        </is>
      </c>
      <c r="C134" s="22" t="inlineStr">
        <is>
          <t>FY2024-25</t>
        </is>
      </c>
      <c r="D134" s="22" t="inlineStr">
        <is>
          <t>Laboratory</t>
        </is>
      </c>
      <c r="E134" s="23" t="n">
        <v>662000</v>
      </c>
      <c r="F134" s="23" t="n">
        <v>219989.56</v>
      </c>
      <c r="G134" s="23" t="n">
        <v>442010.44</v>
      </c>
      <c r="H134" s="31" t="n">
        <v>0.3323</v>
      </c>
      <c r="I134" s="22" t="inlineStr">
        <is>
          <t>Within</t>
        </is>
      </c>
    </row>
    <row r="135">
      <c r="A135" s="22" t="inlineStr">
        <is>
          <t>PRJ-008</t>
        </is>
      </c>
      <c r="B135" s="22" t="inlineStr">
        <is>
          <t>Emergency Obstetric Care - Lyari</t>
        </is>
      </c>
      <c r="C135" s="22" t="inlineStr">
        <is>
          <t>FY2024-25</t>
        </is>
      </c>
      <c r="D135" s="22" t="inlineStr">
        <is>
          <t>Medical Consumables</t>
        </is>
      </c>
      <c r="E135" s="23" t="n">
        <v>1871000</v>
      </c>
      <c r="F135" s="23" t="n">
        <v>1589361.74</v>
      </c>
      <c r="G135" s="23" t="n">
        <v>281638.26</v>
      </c>
      <c r="H135" s="31" t="n">
        <v>0.8495</v>
      </c>
      <c r="I135" s="22" t="inlineStr">
        <is>
          <t>Within</t>
        </is>
      </c>
    </row>
    <row r="136">
      <c r="A136" s="22" t="inlineStr">
        <is>
          <t>PRJ-008</t>
        </is>
      </c>
      <c r="B136" s="22" t="inlineStr">
        <is>
          <t>Emergency Obstetric Care - Lyari</t>
        </is>
      </c>
      <c r="C136" s="22" t="inlineStr">
        <is>
          <t>FY2024-25</t>
        </is>
      </c>
      <c r="D136" s="22" t="inlineStr">
        <is>
          <t>Medicines</t>
        </is>
      </c>
      <c r="E136" s="23" t="n">
        <v>3813000</v>
      </c>
      <c r="F136" s="23" t="n">
        <v>1804629.74</v>
      </c>
      <c r="G136" s="23" t="n">
        <v>2008370.26</v>
      </c>
      <c r="H136" s="31" t="n">
        <v>0.4733</v>
      </c>
      <c r="I136" s="22" t="inlineStr">
        <is>
          <t>Within</t>
        </is>
      </c>
    </row>
    <row r="137">
      <c r="A137" s="22" t="inlineStr">
        <is>
          <t>PRJ-008</t>
        </is>
      </c>
      <c r="B137" s="22" t="inlineStr">
        <is>
          <t>Emergency Obstetric Care - Lyari</t>
        </is>
      </c>
      <c r="C137" s="22" t="inlineStr">
        <is>
          <t>FY2024-25</t>
        </is>
      </c>
      <c r="D137" s="22" t="inlineStr">
        <is>
          <t>Nutrition</t>
        </is>
      </c>
      <c r="E137" s="23" t="n">
        <v>1895000</v>
      </c>
      <c r="F137" s="23" t="n">
        <v>537871.92</v>
      </c>
      <c r="G137" s="23" t="n">
        <v>1357128.08</v>
      </c>
      <c r="H137" s="31" t="n">
        <v>0.2838</v>
      </c>
      <c r="I137" s="22" t="inlineStr">
        <is>
          <t>Within</t>
        </is>
      </c>
    </row>
    <row r="138">
      <c r="A138" s="22" t="inlineStr">
        <is>
          <t>PRJ-008</t>
        </is>
      </c>
      <c r="B138" s="22" t="inlineStr">
        <is>
          <t>Emergency Obstetric Care - Lyari</t>
        </is>
      </c>
      <c r="C138" s="22" t="inlineStr">
        <is>
          <t>FY2025-26</t>
        </is>
      </c>
      <c r="D138" s="22" t="inlineStr">
        <is>
          <t>Equipment</t>
        </is>
      </c>
      <c r="E138" s="23" t="n">
        <v>797000</v>
      </c>
      <c r="F138" s="23" t="n">
        <v>18452.05</v>
      </c>
      <c r="G138" s="23" t="n">
        <v>778547.95</v>
      </c>
      <c r="H138" s="31" t="n">
        <v>0.0232</v>
      </c>
      <c r="I138" s="22" t="inlineStr">
        <is>
          <t>Within</t>
        </is>
      </c>
    </row>
    <row r="139">
      <c r="A139" s="22" t="inlineStr">
        <is>
          <t>PRJ-008</t>
        </is>
      </c>
      <c r="B139" s="22" t="inlineStr">
        <is>
          <t>Emergency Obstetric Care - Lyari</t>
        </is>
      </c>
      <c r="C139" s="22" t="inlineStr">
        <is>
          <t>FY2025-26</t>
        </is>
      </c>
      <c r="D139" s="22" t="inlineStr">
        <is>
          <t>General Items</t>
        </is>
      </c>
      <c r="E139" s="23" t="n">
        <v>593000</v>
      </c>
      <c r="F139" s="23" t="n">
        <v>289945.54</v>
      </c>
      <c r="G139" s="23" t="n">
        <v>303054.46</v>
      </c>
      <c r="H139" s="31" t="n">
        <v>0.4889</v>
      </c>
      <c r="I139" s="22" t="inlineStr">
        <is>
          <t>Within</t>
        </is>
      </c>
    </row>
    <row r="140">
      <c r="A140" s="22" t="inlineStr">
        <is>
          <t>PRJ-008</t>
        </is>
      </c>
      <c r="B140" s="22" t="inlineStr">
        <is>
          <t>Emergency Obstetric Care - Lyari</t>
        </is>
      </c>
      <c r="C140" s="22" t="inlineStr">
        <is>
          <t>FY2025-26</t>
        </is>
      </c>
      <c r="D140" s="22" t="inlineStr">
        <is>
          <t>Laboratory</t>
        </is>
      </c>
      <c r="E140" s="23" t="n">
        <v>613000</v>
      </c>
      <c r="F140" s="23" t="n">
        <v>452727.06</v>
      </c>
      <c r="G140" s="23" t="n">
        <v>160272.94</v>
      </c>
      <c r="H140" s="31" t="n">
        <v>0.7385</v>
      </c>
      <c r="I140" s="22" t="inlineStr">
        <is>
          <t>Within</t>
        </is>
      </c>
    </row>
    <row r="141">
      <c r="A141" s="22" t="inlineStr">
        <is>
          <t>PRJ-008</t>
        </is>
      </c>
      <c r="B141" s="22" t="inlineStr">
        <is>
          <t>Emergency Obstetric Care - Lyari</t>
        </is>
      </c>
      <c r="C141" s="22" t="inlineStr">
        <is>
          <t>FY2025-26</t>
        </is>
      </c>
      <c r="D141" s="22" t="inlineStr">
        <is>
          <t>Medical Consumables</t>
        </is>
      </c>
      <c r="E141" s="23" t="n">
        <v>1688000</v>
      </c>
      <c r="F141" s="23" t="n">
        <v>4137716.72</v>
      </c>
      <c r="G141" s="23" t="n">
        <v>-2449716.72</v>
      </c>
      <c r="H141" s="31" t="n">
        <v>2.4513</v>
      </c>
      <c r="I141" s="22" t="inlineStr">
        <is>
          <t>Over budget</t>
        </is>
      </c>
    </row>
    <row r="142">
      <c r="A142" s="22" t="inlineStr">
        <is>
          <t>PRJ-008</t>
        </is>
      </c>
      <c r="B142" s="22" t="inlineStr">
        <is>
          <t>Emergency Obstetric Care - Lyari</t>
        </is>
      </c>
      <c r="C142" s="22" t="inlineStr">
        <is>
          <t>FY2025-26</t>
        </is>
      </c>
      <c r="D142" s="22" t="inlineStr">
        <is>
          <t>Medicines</t>
        </is>
      </c>
      <c r="E142" s="23" t="n">
        <v>3135000</v>
      </c>
      <c r="F142" s="23" t="n">
        <v>3928505.72</v>
      </c>
      <c r="G142" s="23" t="n">
        <v>-793505.72</v>
      </c>
      <c r="H142" s="31" t="n">
        <v>1.2531</v>
      </c>
      <c r="I142" s="22" t="inlineStr">
        <is>
          <t>Over budget</t>
        </is>
      </c>
    </row>
    <row r="143">
      <c r="A143" s="22" t="inlineStr">
        <is>
          <t>PRJ-008</t>
        </is>
      </c>
      <c r="B143" s="22" t="inlineStr">
        <is>
          <t>Emergency Obstetric Care - Lyari</t>
        </is>
      </c>
      <c r="C143" s="22" t="inlineStr">
        <is>
          <t>FY2025-26</t>
        </is>
      </c>
      <c r="D143" s="22" t="inlineStr">
        <is>
          <t>Nutrition</t>
        </is>
      </c>
      <c r="E143" s="23" t="n">
        <v>1852000</v>
      </c>
      <c r="F143" s="23" t="n">
        <v>860682.74</v>
      </c>
      <c r="G143" s="23" t="n">
        <v>991317.26</v>
      </c>
      <c r="H143" s="31" t="n">
        <v>0.4647</v>
      </c>
      <c r="I143" s="22" t="inlineStr">
        <is>
          <t>Within</t>
        </is>
      </c>
    </row>
    <row r="144">
      <c r="A144" s="22" t="inlineStr">
        <is>
          <t>PRJ-008</t>
        </is>
      </c>
      <c r="B144" s="22" t="inlineStr">
        <is>
          <t>Emergency Obstetric Care - Lyari</t>
        </is>
      </c>
      <c r="C144" s="22" t="inlineStr">
        <is>
          <t>FY2026-27</t>
        </is>
      </c>
      <c r="D144" s="22" t="inlineStr">
        <is>
          <t>Equipment</t>
        </is>
      </c>
      <c r="E144" s="23" t="n">
        <v>368000</v>
      </c>
      <c r="F144" s="23" t="n">
        <v>0</v>
      </c>
      <c r="G144" s="23" t="n">
        <v>368000</v>
      </c>
      <c r="H144" s="31" t="n">
        <v>0</v>
      </c>
      <c r="I144" s="22" t="inlineStr">
        <is>
          <t>Within</t>
        </is>
      </c>
    </row>
    <row r="145">
      <c r="A145" s="22" t="inlineStr">
        <is>
          <t>PRJ-008</t>
        </is>
      </c>
      <c r="B145" s="22" t="inlineStr">
        <is>
          <t>Emergency Obstetric Care - Lyari</t>
        </is>
      </c>
      <c r="C145" s="22" t="inlineStr">
        <is>
          <t>FY2026-27</t>
        </is>
      </c>
      <c r="D145" s="22" t="inlineStr">
        <is>
          <t>General Items</t>
        </is>
      </c>
      <c r="E145" s="23" t="n">
        <v>327000</v>
      </c>
      <c r="F145" s="23" t="n">
        <v>104794.83</v>
      </c>
      <c r="G145" s="23" t="n">
        <v>222205.17</v>
      </c>
      <c r="H145" s="31" t="n">
        <v>0.3205</v>
      </c>
      <c r="I145" s="22" t="inlineStr">
        <is>
          <t>Within</t>
        </is>
      </c>
    </row>
    <row r="146">
      <c r="A146" s="22" t="inlineStr">
        <is>
          <t>PRJ-008</t>
        </is>
      </c>
      <c r="B146" s="22" t="inlineStr">
        <is>
          <t>Emergency Obstetric Care - Lyari</t>
        </is>
      </c>
      <c r="C146" s="22" t="inlineStr">
        <is>
          <t>FY2026-27</t>
        </is>
      </c>
      <c r="D146" s="22" t="inlineStr">
        <is>
          <t>Laboratory</t>
        </is>
      </c>
      <c r="E146" s="23" t="n">
        <v>345000</v>
      </c>
      <c r="F146" s="23" t="n">
        <v>116159.01</v>
      </c>
      <c r="G146" s="23" t="n">
        <v>228840.99</v>
      </c>
      <c r="H146" s="31" t="n">
        <v>0.3367</v>
      </c>
      <c r="I146" s="22" t="inlineStr">
        <is>
          <t>Within</t>
        </is>
      </c>
    </row>
    <row r="147">
      <c r="A147" s="22" t="inlineStr">
        <is>
          <t>PRJ-008</t>
        </is>
      </c>
      <c r="B147" s="22" t="inlineStr">
        <is>
          <t>Emergency Obstetric Care - Lyari</t>
        </is>
      </c>
      <c r="C147" s="22" t="inlineStr">
        <is>
          <t>FY2026-27</t>
        </is>
      </c>
      <c r="D147" s="22" t="inlineStr">
        <is>
          <t>Medical Consumables</t>
        </is>
      </c>
      <c r="E147" s="23" t="n">
        <v>856000</v>
      </c>
      <c r="F147" s="23" t="n">
        <v>1187095.43</v>
      </c>
      <c r="G147" s="23" t="n">
        <v>-331095.43</v>
      </c>
      <c r="H147" s="31" t="n">
        <v>1.3868</v>
      </c>
      <c r="I147" s="22" t="inlineStr">
        <is>
          <t>Over budget</t>
        </is>
      </c>
    </row>
    <row r="148">
      <c r="A148" s="22" t="inlineStr">
        <is>
          <t>PRJ-008</t>
        </is>
      </c>
      <c r="B148" s="22" t="inlineStr">
        <is>
          <t>Emergency Obstetric Care - Lyari</t>
        </is>
      </c>
      <c r="C148" s="22" t="inlineStr">
        <is>
          <t>FY2026-27</t>
        </is>
      </c>
      <c r="D148" s="22" t="inlineStr">
        <is>
          <t>Medicines</t>
        </is>
      </c>
      <c r="E148" s="23" t="n">
        <v>1845000</v>
      </c>
      <c r="F148" s="23" t="n">
        <v>1040432.9</v>
      </c>
      <c r="G148" s="23" t="n">
        <v>804567.1</v>
      </c>
      <c r="H148" s="31" t="n">
        <v>0.5639</v>
      </c>
      <c r="I148" s="22" t="inlineStr">
        <is>
          <t>Within</t>
        </is>
      </c>
    </row>
    <row r="149">
      <c r="A149" s="22" t="inlineStr">
        <is>
          <t>PRJ-008</t>
        </is>
      </c>
      <c r="B149" s="22" t="inlineStr">
        <is>
          <t>Emergency Obstetric Care - Lyari</t>
        </is>
      </c>
      <c r="C149" s="22" t="inlineStr">
        <is>
          <t>FY2026-27</t>
        </is>
      </c>
      <c r="D149" s="22" t="inlineStr">
        <is>
          <t>Nutrition</t>
        </is>
      </c>
      <c r="E149" s="23" t="n">
        <v>948000</v>
      </c>
      <c r="F149" s="23" t="n">
        <v>325613.5</v>
      </c>
      <c r="G149" s="23" t="n">
        <v>622386.5</v>
      </c>
      <c r="H149" s="31" t="n">
        <v>0.3435</v>
      </c>
      <c r="I149" s="22" t="inlineStr">
        <is>
          <t>Within</t>
        </is>
      </c>
    </row>
    <row r="150">
      <c r="A150" s="22" t="inlineStr">
        <is>
          <t>PRJ-009</t>
        </is>
      </c>
      <c r="B150" s="22" t="inlineStr">
        <is>
          <t>Hepatitis B &amp; C Screening - Keamari</t>
        </is>
      </c>
      <c r="C150" s="22" t="inlineStr">
        <is>
          <t>FY2024-25</t>
        </is>
      </c>
      <c r="D150" s="22" t="inlineStr">
        <is>
          <t>Equipment</t>
        </is>
      </c>
      <c r="E150" s="23" t="n">
        <v>532000</v>
      </c>
      <c r="F150" s="23" t="n">
        <v>33911.87</v>
      </c>
      <c r="G150" s="23" t="n">
        <v>498088.13</v>
      </c>
      <c r="H150" s="31" t="n">
        <v>0.06370000000000001</v>
      </c>
      <c r="I150" s="22" t="inlineStr">
        <is>
          <t>Within</t>
        </is>
      </c>
    </row>
    <row r="151">
      <c r="A151" s="22" t="inlineStr">
        <is>
          <t>PRJ-009</t>
        </is>
      </c>
      <c r="B151" s="22" t="inlineStr">
        <is>
          <t>Hepatitis B &amp; C Screening - Keamari</t>
        </is>
      </c>
      <c r="C151" s="22" t="inlineStr">
        <is>
          <t>FY2024-25</t>
        </is>
      </c>
      <c r="D151" s="22" t="inlineStr">
        <is>
          <t>General Items</t>
        </is>
      </c>
      <c r="E151" s="23" t="n">
        <v>471000</v>
      </c>
      <c r="F151" s="23" t="n">
        <v>245731.94</v>
      </c>
      <c r="G151" s="23" t="n">
        <v>225268.06</v>
      </c>
      <c r="H151" s="31" t="n">
        <v>0.5217000000000001</v>
      </c>
      <c r="I151" s="22" t="inlineStr">
        <is>
          <t>Within</t>
        </is>
      </c>
    </row>
    <row r="152">
      <c r="A152" s="22" t="inlineStr">
        <is>
          <t>PRJ-009</t>
        </is>
      </c>
      <c r="B152" s="22" t="inlineStr">
        <is>
          <t>Hepatitis B &amp; C Screening - Keamari</t>
        </is>
      </c>
      <c r="C152" s="22" t="inlineStr">
        <is>
          <t>FY2024-25</t>
        </is>
      </c>
      <c r="D152" s="22" t="inlineStr">
        <is>
          <t>Laboratory</t>
        </is>
      </c>
      <c r="E152" s="23" t="n">
        <v>408000</v>
      </c>
      <c r="F152" s="23" t="n">
        <v>1284488.84</v>
      </c>
      <c r="G152" s="23" t="n">
        <v>-876488.84</v>
      </c>
      <c r="H152" s="31" t="n">
        <v>3.1483</v>
      </c>
      <c r="I152" s="22" t="inlineStr">
        <is>
          <t>Over budget</t>
        </is>
      </c>
    </row>
    <row r="153">
      <c r="A153" s="22" t="inlineStr">
        <is>
          <t>PRJ-009</t>
        </is>
      </c>
      <c r="B153" s="22" t="inlineStr">
        <is>
          <t>Hepatitis B &amp; C Screening - Keamari</t>
        </is>
      </c>
      <c r="C153" s="22" t="inlineStr">
        <is>
          <t>FY2024-25</t>
        </is>
      </c>
      <c r="D153" s="22" t="inlineStr">
        <is>
          <t>Medical Consumables</t>
        </is>
      </c>
      <c r="E153" s="23" t="n">
        <v>1184000</v>
      </c>
      <c r="F153" s="23" t="n">
        <v>867660.34</v>
      </c>
      <c r="G153" s="23" t="n">
        <v>316339.66</v>
      </c>
      <c r="H153" s="31" t="n">
        <v>0.7328</v>
      </c>
      <c r="I153" s="22" t="inlineStr">
        <is>
          <t>Within</t>
        </is>
      </c>
    </row>
    <row r="154">
      <c r="A154" s="22" t="inlineStr">
        <is>
          <t>PRJ-009</t>
        </is>
      </c>
      <c r="B154" s="22" t="inlineStr">
        <is>
          <t>Hepatitis B &amp; C Screening - Keamari</t>
        </is>
      </c>
      <c r="C154" s="22" t="inlineStr">
        <is>
          <t>FY2024-25</t>
        </is>
      </c>
      <c r="D154" s="22" t="inlineStr">
        <is>
          <t>Medicines</t>
        </is>
      </c>
      <c r="E154" s="23" t="n">
        <v>2534000</v>
      </c>
      <c r="F154" s="23" t="n">
        <v>1359516.16</v>
      </c>
      <c r="G154" s="23" t="n">
        <v>1174483.84</v>
      </c>
      <c r="H154" s="31" t="n">
        <v>0.5365</v>
      </c>
      <c r="I154" s="22" t="inlineStr">
        <is>
          <t>Within</t>
        </is>
      </c>
    </row>
    <row r="155">
      <c r="A155" s="22" t="inlineStr">
        <is>
          <t>PRJ-009</t>
        </is>
      </c>
      <c r="B155" s="22" t="inlineStr">
        <is>
          <t>Hepatitis B &amp; C Screening - Keamari</t>
        </is>
      </c>
      <c r="C155" s="22" t="inlineStr">
        <is>
          <t>FY2024-25</t>
        </is>
      </c>
      <c r="D155" s="22" t="inlineStr">
        <is>
          <t>Nutrition</t>
        </is>
      </c>
      <c r="E155" s="23" t="n">
        <v>1168000</v>
      </c>
      <c r="F155" s="23" t="n">
        <v>673227.7</v>
      </c>
      <c r="G155" s="23" t="n">
        <v>494772.3</v>
      </c>
      <c r="H155" s="31" t="n">
        <v>0.5764</v>
      </c>
      <c r="I155" s="22" t="inlineStr">
        <is>
          <t>Within</t>
        </is>
      </c>
    </row>
    <row r="156">
      <c r="A156" s="22" t="inlineStr">
        <is>
          <t>PRJ-010</t>
        </is>
      </c>
      <c r="B156" s="22" t="inlineStr">
        <is>
          <t>Thalassaemia Support Programme - Gadap</t>
        </is>
      </c>
      <c r="C156" s="22" t="inlineStr">
        <is>
          <t>FY2024-25</t>
        </is>
      </c>
      <c r="D156" s="22" t="inlineStr">
        <is>
          <t>Equipment</t>
        </is>
      </c>
      <c r="E156" s="23" t="n">
        <v>1105000</v>
      </c>
      <c r="F156" s="23" t="n">
        <v>12766.82</v>
      </c>
      <c r="G156" s="23" t="n">
        <v>1092233.18</v>
      </c>
      <c r="H156" s="31" t="n">
        <v>0.0116</v>
      </c>
      <c r="I156" s="22" t="inlineStr">
        <is>
          <t>Within</t>
        </is>
      </c>
    </row>
    <row r="157">
      <c r="A157" s="22" t="inlineStr">
        <is>
          <t>PRJ-010</t>
        </is>
      </c>
      <c r="B157" s="22" t="inlineStr">
        <is>
          <t>Thalassaemia Support Programme - Gadap</t>
        </is>
      </c>
      <c r="C157" s="22" t="inlineStr">
        <is>
          <t>FY2024-25</t>
        </is>
      </c>
      <c r="D157" s="22" t="inlineStr">
        <is>
          <t>General Items</t>
        </is>
      </c>
      <c r="E157" s="23" t="n">
        <v>878000</v>
      </c>
      <c r="F157" s="23" t="n">
        <v>359097.74</v>
      </c>
      <c r="G157" s="23" t="n">
        <v>518902.26</v>
      </c>
      <c r="H157" s="31" t="n">
        <v>0.409</v>
      </c>
      <c r="I157" s="22" t="inlineStr">
        <is>
          <t>Within</t>
        </is>
      </c>
    </row>
    <row r="158">
      <c r="A158" s="22" t="inlineStr">
        <is>
          <t>PRJ-010</t>
        </is>
      </c>
      <c r="B158" s="22" t="inlineStr">
        <is>
          <t>Thalassaemia Support Programme - Gadap</t>
        </is>
      </c>
      <c r="C158" s="22" t="inlineStr">
        <is>
          <t>FY2024-25</t>
        </is>
      </c>
      <c r="D158" s="22" t="inlineStr">
        <is>
          <t>Laboratory</t>
        </is>
      </c>
      <c r="E158" s="23" t="n">
        <v>905000</v>
      </c>
      <c r="F158" s="23" t="n">
        <v>1330203.11</v>
      </c>
      <c r="G158" s="23" t="n">
        <v>-425203.11</v>
      </c>
      <c r="H158" s="31" t="n">
        <v>1.4698</v>
      </c>
      <c r="I158" s="22" t="inlineStr">
        <is>
          <t>Over budget</t>
        </is>
      </c>
    </row>
    <row r="159">
      <c r="A159" s="22" t="inlineStr">
        <is>
          <t>PRJ-010</t>
        </is>
      </c>
      <c r="B159" s="22" t="inlineStr">
        <is>
          <t>Thalassaemia Support Programme - Gadap</t>
        </is>
      </c>
      <c r="C159" s="22" t="inlineStr">
        <is>
          <t>FY2024-25</t>
        </is>
      </c>
      <c r="D159" s="22" t="inlineStr">
        <is>
          <t>Medical Consumables</t>
        </is>
      </c>
      <c r="E159" s="23" t="n">
        <v>2319000</v>
      </c>
      <c r="F159" s="23" t="n">
        <v>2407759.56</v>
      </c>
      <c r="G159" s="23" t="n">
        <v>-88759.56</v>
      </c>
      <c r="H159" s="31" t="n">
        <v>1.0383</v>
      </c>
      <c r="I159" s="22" t="inlineStr">
        <is>
          <t>Over budget</t>
        </is>
      </c>
    </row>
    <row r="160">
      <c r="A160" s="22" t="inlineStr">
        <is>
          <t>PRJ-010</t>
        </is>
      </c>
      <c r="B160" s="22" t="inlineStr">
        <is>
          <t>Thalassaemia Support Programme - Gadap</t>
        </is>
      </c>
      <c r="C160" s="22" t="inlineStr">
        <is>
          <t>FY2024-25</t>
        </is>
      </c>
      <c r="D160" s="22" t="inlineStr">
        <is>
          <t>Medicines</t>
        </is>
      </c>
      <c r="E160" s="23" t="n">
        <v>4854000</v>
      </c>
      <c r="F160" s="23" t="n">
        <v>4834208.54</v>
      </c>
      <c r="G160" s="23" t="n">
        <v>19791.46</v>
      </c>
      <c r="H160" s="31" t="n">
        <v>0.9959</v>
      </c>
      <c r="I160" s="22" t="inlineStr">
        <is>
          <t>Watch</t>
        </is>
      </c>
    </row>
    <row r="161">
      <c r="A161" s="22" t="inlineStr">
        <is>
          <t>PRJ-010</t>
        </is>
      </c>
      <c r="B161" s="22" t="inlineStr">
        <is>
          <t>Thalassaemia Support Programme - Gadap</t>
        </is>
      </c>
      <c r="C161" s="22" t="inlineStr">
        <is>
          <t>FY2024-25</t>
        </is>
      </c>
      <c r="D161" s="22" t="inlineStr">
        <is>
          <t>Nutrition</t>
        </is>
      </c>
      <c r="E161" s="23" t="n">
        <v>2492000</v>
      </c>
      <c r="F161" s="23" t="n">
        <v>757238.12</v>
      </c>
      <c r="G161" s="23" t="n">
        <v>1734761.88</v>
      </c>
      <c r="H161" s="31" t="n">
        <v>0.3039</v>
      </c>
      <c r="I161" s="22" t="inlineStr">
        <is>
          <t>Within</t>
        </is>
      </c>
    </row>
    <row r="162">
      <c r="A162" s="22" t="inlineStr">
        <is>
          <t>PRJ-010</t>
        </is>
      </c>
      <c r="B162" s="22" t="inlineStr">
        <is>
          <t>Thalassaemia Support Programme - Gadap</t>
        </is>
      </c>
      <c r="C162" s="22" t="inlineStr">
        <is>
          <t>FY2025-26</t>
        </is>
      </c>
      <c r="D162" s="22" t="inlineStr">
        <is>
          <t>Equipment</t>
        </is>
      </c>
      <c r="E162" s="23" t="n">
        <v>955000</v>
      </c>
      <c r="F162" s="23" t="n">
        <v>0</v>
      </c>
      <c r="G162" s="23" t="n">
        <v>955000</v>
      </c>
      <c r="H162" s="31" t="n">
        <v>0</v>
      </c>
      <c r="I162" s="22" t="inlineStr">
        <is>
          <t>Within</t>
        </is>
      </c>
    </row>
    <row r="163">
      <c r="A163" s="22" t="inlineStr">
        <is>
          <t>PRJ-010</t>
        </is>
      </c>
      <c r="B163" s="22" t="inlineStr">
        <is>
          <t>Thalassaemia Support Programme - Gadap</t>
        </is>
      </c>
      <c r="C163" s="22" t="inlineStr">
        <is>
          <t>FY2025-26</t>
        </is>
      </c>
      <c r="D163" s="22" t="inlineStr">
        <is>
          <t>General Items</t>
        </is>
      </c>
      <c r="E163" s="23" t="n">
        <v>831000</v>
      </c>
      <c r="F163" s="23" t="n">
        <v>505686.11</v>
      </c>
      <c r="G163" s="23" t="n">
        <v>325313.89</v>
      </c>
      <c r="H163" s="31" t="n">
        <v>0.6085</v>
      </c>
      <c r="I163" s="22" t="inlineStr">
        <is>
          <t>Within</t>
        </is>
      </c>
    </row>
    <row r="164">
      <c r="A164" s="22" t="inlineStr">
        <is>
          <t>PRJ-010</t>
        </is>
      </c>
      <c r="B164" s="22" t="inlineStr">
        <is>
          <t>Thalassaemia Support Programme - Gadap</t>
        </is>
      </c>
      <c r="C164" s="22" t="inlineStr">
        <is>
          <t>FY2025-26</t>
        </is>
      </c>
      <c r="D164" s="22" t="inlineStr">
        <is>
          <t>Laboratory</t>
        </is>
      </c>
      <c r="E164" s="23" t="n">
        <v>803000</v>
      </c>
      <c r="F164" s="23" t="n">
        <v>1493884.33</v>
      </c>
      <c r="G164" s="23" t="n">
        <v>-690884.33</v>
      </c>
      <c r="H164" s="31" t="n">
        <v>1.8604</v>
      </c>
      <c r="I164" s="22" t="inlineStr">
        <is>
          <t>Over budget</t>
        </is>
      </c>
    </row>
    <row r="165">
      <c r="A165" s="22" t="inlineStr">
        <is>
          <t>PRJ-010</t>
        </is>
      </c>
      <c r="B165" s="22" t="inlineStr">
        <is>
          <t>Thalassaemia Support Programme - Gadap</t>
        </is>
      </c>
      <c r="C165" s="22" t="inlineStr">
        <is>
          <t>FY2025-26</t>
        </is>
      </c>
      <c r="D165" s="22" t="inlineStr">
        <is>
          <t>Medical Consumables</t>
        </is>
      </c>
      <c r="E165" s="23" t="n">
        <v>2174000</v>
      </c>
      <c r="F165" s="23" t="n">
        <v>2772144.72</v>
      </c>
      <c r="G165" s="23" t="n">
        <v>-598144.72</v>
      </c>
      <c r="H165" s="31" t="n">
        <v>1.2751</v>
      </c>
      <c r="I165" s="22" t="inlineStr">
        <is>
          <t>Over budget</t>
        </is>
      </c>
    </row>
    <row r="166">
      <c r="A166" s="22" t="inlineStr">
        <is>
          <t>PRJ-010</t>
        </is>
      </c>
      <c r="B166" s="22" t="inlineStr">
        <is>
          <t>Thalassaemia Support Programme - Gadap</t>
        </is>
      </c>
      <c r="C166" s="22" t="inlineStr">
        <is>
          <t>FY2025-26</t>
        </is>
      </c>
      <c r="D166" s="22" t="inlineStr">
        <is>
          <t>Medicines</t>
        </is>
      </c>
      <c r="E166" s="23" t="n">
        <v>4270000</v>
      </c>
      <c r="F166" s="23" t="n">
        <v>5420105.02</v>
      </c>
      <c r="G166" s="23" t="n">
        <v>-1150105.02</v>
      </c>
      <c r="H166" s="31" t="n">
        <v>1.2693</v>
      </c>
      <c r="I166" s="22" t="inlineStr">
        <is>
          <t>Over budget</t>
        </is>
      </c>
    </row>
    <row r="167">
      <c r="A167" s="22" t="inlineStr">
        <is>
          <t>PRJ-010</t>
        </is>
      </c>
      <c r="B167" s="22" t="inlineStr">
        <is>
          <t>Thalassaemia Support Programme - Gadap</t>
        </is>
      </c>
      <c r="C167" s="22" t="inlineStr">
        <is>
          <t>FY2025-26</t>
        </is>
      </c>
      <c r="D167" s="22" t="inlineStr">
        <is>
          <t>Nutrition</t>
        </is>
      </c>
      <c r="E167" s="23" t="n">
        <v>2432000</v>
      </c>
      <c r="F167" s="23" t="n">
        <v>823315.34</v>
      </c>
      <c r="G167" s="23" t="n">
        <v>1608684.66</v>
      </c>
      <c r="H167" s="31" t="n">
        <v>0.3385</v>
      </c>
      <c r="I167" s="22" t="inlineStr">
        <is>
          <t>Within</t>
        </is>
      </c>
    </row>
    <row r="168">
      <c r="A168" s="22" t="inlineStr">
        <is>
          <t>PRJ-010</t>
        </is>
      </c>
      <c r="B168" s="22" t="inlineStr">
        <is>
          <t>Thalassaemia Support Programme - Gadap</t>
        </is>
      </c>
      <c r="C168" s="22" t="inlineStr">
        <is>
          <t>FY2026-27</t>
        </is>
      </c>
      <c r="D168" s="22" t="inlineStr">
        <is>
          <t>Equipment</t>
        </is>
      </c>
      <c r="E168" s="23" t="n">
        <v>550000</v>
      </c>
      <c r="F168" s="23" t="n">
        <v>0</v>
      </c>
      <c r="G168" s="23" t="n">
        <v>550000</v>
      </c>
      <c r="H168" s="31" t="n">
        <v>0</v>
      </c>
      <c r="I168" s="22" t="inlineStr">
        <is>
          <t>Within</t>
        </is>
      </c>
    </row>
    <row r="169">
      <c r="A169" s="22" t="inlineStr">
        <is>
          <t>PRJ-010</t>
        </is>
      </c>
      <c r="B169" s="22" t="inlineStr">
        <is>
          <t>Thalassaemia Support Programme - Gadap</t>
        </is>
      </c>
      <c r="C169" s="22" t="inlineStr">
        <is>
          <t>FY2026-27</t>
        </is>
      </c>
      <c r="D169" s="22" t="inlineStr">
        <is>
          <t>General Items</t>
        </is>
      </c>
      <c r="E169" s="23" t="n">
        <v>426000</v>
      </c>
      <c r="F169" s="23" t="n">
        <v>107445.23</v>
      </c>
      <c r="G169" s="23" t="n">
        <v>318554.77</v>
      </c>
      <c r="H169" s="31" t="n">
        <v>0.2522</v>
      </c>
      <c r="I169" s="22" t="inlineStr">
        <is>
          <t>Within</t>
        </is>
      </c>
    </row>
    <row r="170">
      <c r="A170" s="22" t="inlineStr">
        <is>
          <t>PRJ-010</t>
        </is>
      </c>
      <c r="B170" s="22" t="inlineStr">
        <is>
          <t>Thalassaemia Support Programme - Gadap</t>
        </is>
      </c>
      <c r="C170" s="22" t="inlineStr">
        <is>
          <t>FY2026-27</t>
        </is>
      </c>
      <c r="D170" s="22" t="inlineStr">
        <is>
          <t>Laboratory</t>
        </is>
      </c>
      <c r="E170" s="23" t="n">
        <v>410000</v>
      </c>
      <c r="F170" s="23" t="n">
        <v>339741.69</v>
      </c>
      <c r="G170" s="23" t="n">
        <v>70258.31</v>
      </c>
      <c r="H170" s="31" t="n">
        <v>0.8286</v>
      </c>
      <c r="I170" s="22" t="inlineStr">
        <is>
          <t>Within</t>
        </is>
      </c>
    </row>
    <row r="171">
      <c r="A171" s="22" t="inlineStr">
        <is>
          <t>PRJ-010</t>
        </is>
      </c>
      <c r="B171" s="22" t="inlineStr">
        <is>
          <t>Thalassaemia Support Programme - Gadap</t>
        </is>
      </c>
      <c r="C171" s="22" t="inlineStr">
        <is>
          <t>FY2026-27</t>
        </is>
      </c>
      <c r="D171" s="22" t="inlineStr">
        <is>
          <t>Medical Consumables</t>
        </is>
      </c>
      <c r="E171" s="23" t="n">
        <v>1211000</v>
      </c>
      <c r="F171" s="23" t="n">
        <v>881309.09</v>
      </c>
      <c r="G171" s="23" t="n">
        <v>329690.91</v>
      </c>
      <c r="H171" s="31" t="n">
        <v>0.7278</v>
      </c>
      <c r="I171" s="22" t="inlineStr">
        <is>
          <t>Within</t>
        </is>
      </c>
    </row>
    <row r="172">
      <c r="A172" s="22" t="inlineStr">
        <is>
          <t>PRJ-010</t>
        </is>
      </c>
      <c r="B172" s="22" t="inlineStr">
        <is>
          <t>Thalassaemia Support Programme - Gadap</t>
        </is>
      </c>
      <c r="C172" s="22" t="inlineStr">
        <is>
          <t>FY2026-27</t>
        </is>
      </c>
      <c r="D172" s="22" t="inlineStr">
        <is>
          <t>Medicines</t>
        </is>
      </c>
      <c r="E172" s="23" t="n">
        <v>2462000</v>
      </c>
      <c r="F172" s="23" t="n">
        <v>1814152.23</v>
      </c>
      <c r="G172" s="23" t="n">
        <v>647847.77</v>
      </c>
      <c r="H172" s="31" t="n">
        <v>0.7369</v>
      </c>
      <c r="I172" s="22" t="inlineStr">
        <is>
          <t>Within</t>
        </is>
      </c>
    </row>
    <row r="173">
      <c r="A173" s="22" t="inlineStr">
        <is>
          <t>PRJ-010</t>
        </is>
      </c>
      <c r="B173" s="22" t="inlineStr">
        <is>
          <t>Thalassaemia Support Programme - Gadap</t>
        </is>
      </c>
      <c r="C173" s="22" t="inlineStr">
        <is>
          <t>FY2026-27</t>
        </is>
      </c>
      <c r="D173" s="22" t="inlineStr">
        <is>
          <t>Nutrition</t>
        </is>
      </c>
      <c r="E173" s="23" t="n">
        <v>1225000</v>
      </c>
      <c r="F173" s="23" t="n">
        <v>217883.4</v>
      </c>
      <c r="G173" s="23" t="n">
        <v>1007116.6</v>
      </c>
      <c r="H173" s="31" t="n">
        <v>0.1779</v>
      </c>
      <c r="I173" s="22" t="inlineStr">
        <is>
          <t>Within</t>
        </is>
      </c>
    </row>
    <row r="174">
      <c r="A174" s="26" t="inlineStr"/>
      <c r="B174" s="26" t="inlineStr">
        <is>
          <t>TOTAL</t>
        </is>
      </c>
      <c r="C174" s="26" t="inlineStr"/>
      <c r="D174" s="26" t="inlineStr"/>
      <c r="E174" s="27" t="n">
        <v>342237000</v>
      </c>
      <c r="F174" s="27" t="n">
        <v>255304705.15</v>
      </c>
      <c r="G174" s="27" t="n">
        <v>86932294.84999999</v>
      </c>
      <c r="H174" s="32" t="n">
        <v>0.746</v>
      </c>
      <c r="I174" s="26" t="inlineStr"/>
    </row>
  </sheetData>
  <mergeCells count="1"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45756"/>
    <outlinePr summaryBelow="1" summaryRight="1"/>
    <pageSetUpPr/>
  </sheetPr>
  <dimension ref="A1:J89"/>
  <sheetViews>
    <sheetView showGridLines="0" zoomScale="90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20" customWidth="1" min="3" max="3"/>
    <col width="14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Unit Price Movement and Variance</t>
        </is>
      </c>
    </row>
    <row r="2">
      <c r="A2" s="2" t="inlineStr">
        <is>
          <t>Purchase prices exclude zero-value (donated) lines. Variance compares the latest purchase price with the item's standard cost and with its first purchase in the window.</t>
        </is>
      </c>
    </row>
    <row r="3" ht="6" customHeight="1"/>
    <row r="5" ht="30" customHeight="1">
      <c r="A5" s="11" t="inlineStr">
        <is>
          <t>Item ID</t>
        </is>
      </c>
      <c r="B5" s="11" t="inlineStr">
        <is>
          <t>Item description</t>
        </is>
      </c>
      <c r="C5" s="11" t="inlineStr">
        <is>
          <t>Category</t>
        </is>
      </c>
      <c r="D5" s="11" t="inlineStr">
        <is>
          <t>Standard cost</t>
        </is>
      </c>
      <c r="E5" s="11" t="inlineStr">
        <is>
          <t>First price</t>
        </is>
      </c>
      <c r="F5" s="11" t="inlineStr">
        <is>
          <t>Latest price</t>
        </is>
      </c>
      <c r="G5" s="11" t="inlineStr">
        <is>
          <t>Average price</t>
        </is>
      </c>
      <c r="H5" s="11" t="inlineStr">
        <is>
          <t>Change vs first</t>
        </is>
      </c>
      <c r="I5" s="11" t="inlineStr">
        <is>
          <t>Change vs standard</t>
        </is>
      </c>
      <c r="J5" s="11" t="inlineStr">
        <is>
          <t>Qty purchased</t>
        </is>
      </c>
    </row>
    <row r="6">
      <c r="A6" s="22" t="inlineStr">
        <is>
          <t>MED-0014</t>
        </is>
      </c>
      <c r="B6" s="22" t="inlineStr">
        <is>
          <t>Oxytocin 10 IU Injection</t>
        </is>
      </c>
      <c r="C6" s="22" t="inlineStr">
        <is>
          <t>Medicines</t>
        </is>
      </c>
      <c r="D6" s="25" t="n">
        <v>34.5</v>
      </c>
      <c r="E6" s="25" t="n">
        <v>33.92</v>
      </c>
      <c r="F6" s="25" t="n">
        <v>42.15</v>
      </c>
      <c r="G6" s="25" t="n">
        <v>38.2</v>
      </c>
      <c r="H6" s="31" t="n">
        <v>0.2426</v>
      </c>
      <c r="I6" s="31" t="n">
        <v>0.2217</v>
      </c>
      <c r="J6" s="23" t="n">
        <v>12870</v>
      </c>
    </row>
    <row r="7">
      <c r="A7" s="22" t="inlineStr">
        <is>
          <t>MED-0015</t>
        </is>
      </c>
      <c r="B7" s="22" t="inlineStr">
        <is>
          <t>Magnesium Sulphate 50% 10 ml</t>
        </is>
      </c>
      <c r="C7" s="22" t="inlineStr">
        <is>
          <t>Medicines</t>
        </is>
      </c>
      <c r="D7" s="25" t="n">
        <v>41</v>
      </c>
      <c r="E7" s="25" t="n">
        <v>42.14</v>
      </c>
      <c r="F7" s="25" t="n">
        <v>47.02</v>
      </c>
      <c r="G7" s="25" t="n">
        <v>45.69</v>
      </c>
      <c r="H7" s="31" t="n">
        <v>0.1158</v>
      </c>
      <c r="I7" s="31" t="n">
        <v>0.1468</v>
      </c>
      <c r="J7" s="23" t="n">
        <v>5950</v>
      </c>
    </row>
    <row r="8">
      <c r="A8" s="22" t="inlineStr">
        <is>
          <t>MED-0009</t>
        </is>
      </c>
      <c r="B8" s="22" t="inlineStr">
        <is>
          <t>Normal Saline 0.9% 500 ml</t>
        </is>
      </c>
      <c r="C8" s="22" t="inlineStr">
        <is>
          <t>Medicines</t>
        </is>
      </c>
      <c r="D8" s="25" t="n">
        <v>118</v>
      </c>
      <c r="E8" s="25" t="n">
        <v>114.48</v>
      </c>
      <c r="F8" s="25" t="n">
        <v>133.33</v>
      </c>
      <c r="G8" s="25" t="n">
        <v>129.89</v>
      </c>
      <c r="H8" s="31" t="n">
        <v>0.1647</v>
      </c>
      <c r="I8" s="31" t="n">
        <v>0.1299</v>
      </c>
      <c r="J8" s="23" t="n">
        <v>42760</v>
      </c>
    </row>
    <row r="9">
      <c r="A9" s="22" t="inlineStr">
        <is>
          <t>CON-0015</t>
        </is>
      </c>
      <c r="B9" s="22" t="inlineStr">
        <is>
          <t>Disposable Delivery Kit</t>
        </is>
      </c>
      <c r="C9" s="22" t="inlineStr">
        <is>
          <t>Medical Consumables</t>
        </is>
      </c>
      <c r="D9" s="25" t="n">
        <v>640</v>
      </c>
      <c r="E9" s="25" t="n">
        <v>677.01</v>
      </c>
      <c r="F9" s="25" t="n">
        <v>823.87</v>
      </c>
      <c r="G9" s="25" t="n">
        <v>711.0599999999999</v>
      </c>
      <c r="H9" s="31" t="n">
        <v>0.2169</v>
      </c>
      <c r="I9" s="31" t="n">
        <v>0.2873</v>
      </c>
      <c r="J9" s="23" t="n">
        <v>13754</v>
      </c>
    </row>
    <row r="10">
      <c r="A10" s="22" t="inlineStr">
        <is>
          <t>MED-0008</t>
        </is>
      </c>
      <c r="B10" s="22" t="inlineStr">
        <is>
          <t>Ibuprofen 400 mg Tablet</t>
        </is>
      </c>
      <c r="C10" s="22" t="inlineStr">
        <is>
          <t>Medicines</t>
        </is>
      </c>
      <c r="D10" s="25" t="n">
        <v>2.4</v>
      </c>
      <c r="E10" s="25" t="n">
        <v>2.5</v>
      </c>
      <c r="F10" s="25" t="n">
        <v>2.94</v>
      </c>
      <c r="G10" s="25" t="n">
        <v>2.66</v>
      </c>
      <c r="H10" s="31" t="n">
        <v>0.176</v>
      </c>
      <c r="I10" s="31" t="n">
        <v>0.225</v>
      </c>
      <c r="J10" s="23" t="n">
        <v>354000</v>
      </c>
    </row>
    <row r="11">
      <c r="A11" s="22" t="inlineStr">
        <is>
          <t>MED-0004</t>
        </is>
      </c>
      <c r="B11" s="22" t="inlineStr">
        <is>
          <t>Ceftriaxone 1 g Injection</t>
        </is>
      </c>
      <c r="C11" s="22" t="inlineStr">
        <is>
          <t>Medicines</t>
        </is>
      </c>
      <c r="D11" s="25" t="n">
        <v>96</v>
      </c>
      <c r="E11" s="25" t="n">
        <v>93.29000000000001</v>
      </c>
      <c r="F11" s="25" t="n">
        <v>121.64</v>
      </c>
      <c r="G11" s="25" t="n">
        <v>106.23</v>
      </c>
      <c r="H11" s="31" t="n">
        <v>0.3039</v>
      </c>
      <c r="I11" s="31" t="n">
        <v>0.2671</v>
      </c>
      <c r="J11" s="23" t="n">
        <v>47526</v>
      </c>
    </row>
    <row r="12">
      <c r="A12" s="22" t="inlineStr">
        <is>
          <t>MED-0002</t>
        </is>
      </c>
      <c r="B12" s="22" t="inlineStr">
        <is>
          <t>Amoxicillin 250 mg Capsule</t>
        </is>
      </c>
      <c r="C12" s="22" t="inlineStr">
        <is>
          <t>Medicines</t>
        </is>
      </c>
      <c r="D12" s="25" t="n">
        <v>4.2</v>
      </c>
      <c r="E12" s="25" t="n">
        <v>4.27</v>
      </c>
      <c r="F12" s="25" t="n">
        <v>5.15</v>
      </c>
      <c r="G12" s="25" t="n">
        <v>4.69</v>
      </c>
      <c r="H12" s="31" t="n">
        <v>0.2061</v>
      </c>
      <c r="I12" s="31" t="n">
        <v>0.2262</v>
      </c>
      <c r="J12" s="23" t="n">
        <v>442000</v>
      </c>
    </row>
    <row r="13">
      <c r="A13" s="22" t="inlineStr">
        <is>
          <t>MED-0011</t>
        </is>
      </c>
      <c r="B13" s="22" t="inlineStr">
        <is>
          <t>Dextrose 5% 500 ml</t>
        </is>
      </c>
      <c r="C13" s="22" t="inlineStr">
        <is>
          <t>Medicines</t>
        </is>
      </c>
      <c r="D13" s="25" t="n">
        <v>124</v>
      </c>
      <c r="E13" s="25" t="n">
        <v>124.72</v>
      </c>
      <c r="F13" s="25" t="n">
        <v>161.41</v>
      </c>
      <c r="G13" s="25" t="n">
        <v>136.65</v>
      </c>
      <c r="H13" s="31" t="n">
        <v>0.2942</v>
      </c>
      <c r="I13" s="31" t="n">
        <v>0.3017</v>
      </c>
      <c r="J13" s="23" t="n">
        <v>26420</v>
      </c>
    </row>
    <row r="14">
      <c r="A14" s="22" t="inlineStr">
        <is>
          <t>MED-0019</t>
        </is>
      </c>
      <c r="B14" s="22" t="inlineStr">
        <is>
          <t>Rifampicin + Isoniazid 150/75 mg</t>
        </is>
      </c>
      <c r="C14" s="22" t="inlineStr">
        <is>
          <t>Medicines</t>
        </is>
      </c>
      <c r="D14" s="25" t="n">
        <v>18.6</v>
      </c>
      <c r="E14" s="25" t="n">
        <v>19.66</v>
      </c>
      <c r="F14" s="25" t="n">
        <v>21.91</v>
      </c>
      <c r="G14" s="25" t="n">
        <v>20.74</v>
      </c>
      <c r="H14" s="31" t="n">
        <v>0.1144</v>
      </c>
      <c r="I14" s="31" t="n">
        <v>0.178</v>
      </c>
      <c r="J14" s="23" t="n">
        <v>138432</v>
      </c>
    </row>
    <row r="15">
      <c r="A15" s="22" t="inlineStr">
        <is>
          <t>MED-0032</t>
        </is>
      </c>
      <c r="B15" s="22" t="inlineStr">
        <is>
          <t>Folic Acid 5 mg Tablet</t>
        </is>
      </c>
      <c r="C15" s="22" t="inlineStr">
        <is>
          <t>Medicines</t>
        </is>
      </c>
      <c r="D15" s="25" t="n">
        <v>1.05</v>
      </c>
      <c r="E15" s="25" t="n">
        <v>1.03</v>
      </c>
      <c r="F15" s="25" t="n">
        <v>1.29</v>
      </c>
      <c r="G15" s="25" t="n">
        <v>1.16</v>
      </c>
      <c r="H15" s="31" t="n">
        <v>0.2524</v>
      </c>
      <c r="I15" s="31" t="n">
        <v>0.2286</v>
      </c>
      <c r="J15" s="23" t="n">
        <v>576000</v>
      </c>
    </row>
    <row r="16">
      <c r="A16" s="22" t="inlineStr">
        <is>
          <t>MED-0034</t>
        </is>
      </c>
      <c r="B16" s="22" t="inlineStr">
        <is>
          <t>Tenofovir + Emtricitabine 300/200 mg</t>
        </is>
      </c>
      <c r="C16" s="22" t="inlineStr">
        <is>
          <t>Medicines</t>
        </is>
      </c>
      <c r="D16" s="25" t="n">
        <v>890</v>
      </c>
      <c r="E16" s="25" t="n">
        <v>930.2</v>
      </c>
      <c r="F16" s="25" t="n">
        <v>1054.99</v>
      </c>
      <c r="G16" s="25" t="n">
        <v>985.3099999999999</v>
      </c>
      <c r="H16" s="31" t="n">
        <v>0.1342</v>
      </c>
      <c r="I16" s="31" t="n">
        <v>0.1854</v>
      </c>
      <c r="J16" s="23" t="n">
        <v>7860</v>
      </c>
    </row>
    <row r="17">
      <c r="A17" s="22" t="inlineStr">
        <is>
          <t>MED-0016</t>
        </is>
      </c>
      <c r="B17" s="22" t="inlineStr">
        <is>
          <t>Ferrous Sulphate + Folic Acid Tablet</t>
        </is>
      </c>
      <c r="C17" s="22" t="inlineStr">
        <is>
          <t>Medicines</t>
        </is>
      </c>
      <c r="D17" s="25" t="n">
        <v>1.85</v>
      </c>
      <c r="E17" s="25" t="n">
        <v>1.98</v>
      </c>
      <c r="F17" s="25" t="n">
        <v>2.35</v>
      </c>
      <c r="G17" s="25" t="n">
        <v>2.05</v>
      </c>
      <c r="H17" s="31" t="n">
        <v>0.1869</v>
      </c>
      <c r="I17" s="31" t="n">
        <v>0.2703</v>
      </c>
      <c r="J17" s="23" t="n">
        <v>684000</v>
      </c>
    </row>
    <row r="18">
      <c r="A18" s="22" t="inlineStr">
        <is>
          <t>MED-0021</t>
        </is>
      </c>
      <c r="B18" s="22" t="inlineStr">
        <is>
          <t>Ethambutol 400 mg Tablet</t>
        </is>
      </c>
      <c r="C18" s="22" t="inlineStr">
        <is>
          <t>Medicines</t>
        </is>
      </c>
      <c r="D18" s="25" t="n">
        <v>7.4</v>
      </c>
      <c r="E18" s="25" t="n">
        <v>7.73</v>
      </c>
      <c r="F18" s="25" t="n">
        <v>9.529999999999999</v>
      </c>
      <c r="G18" s="25" t="n">
        <v>8.24</v>
      </c>
      <c r="H18" s="31" t="n">
        <v>0.2329</v>
      </c>
      <c r="I18" s="31" t="n">
        <v>0.2878</v>
      </c>
      <c r="J18" s="23" t="n">
        <v>100000</v>
      </c>
    </row>
    <row r="19">
      <c r="A19" s="22" t="inlineStr">
        <is>
          <t>CON-0014</t>
        </is>
      </c>
      <c r="B19" s="22" t="inlineStr">
        <is>
          <t>Urine Collection Bag 2000 ml</t>
        </is>
      </c>
      <c r="C19" s="22" t="inlineStr">
        <is>
          <t>Medical Consumables</t>
        </is>
      </c>
      <c r="D19" s="25" t="n">
        <v>78</v>
      </c>
      <c r="E19" s="25" t="n">
        <v>76.62</v>
      </c>
      <c r="F19" s="25" t="n">
        <v>88.86</v>
      </c>
      <c r="G19" s="25" t="n">
        <v>87.44</v>
      </c>
      <c r="H19" s="31" t="n">
        <v>0.1597</v>
      </c>
      <c r="I19" s="31" t="n">
        <v>0.1392</v>
      </c>
      <c r="J19" s="23" t="n">
        <v>16800</v>
      </c>
    </row>
    <row r="20">
      <c r="A20" s="22" t="inlineStr">
        <is>
          <t>MED-0022</t>
        </is>
      </c>
      <c r="B20" s="22" t="inlineStr">
        <is>
          <t>Pyrazinamide 500 mg Tablet</t>
        </is>
      </c>
      <c r="C20" s="22" t="inlineStr">
        <is>
          <t>Medicines</t>
        </is>
      </c>
      <c r="D20" s="25" t="n">
        <v>8.1</v>
      </c>
      <c r="E20" s="25" t="n">
        <v>8.34</v>
      </c>
      <c r="F20" s="25" t="n">
        <v>9.640000000000001</v>
      </c>
      <c r="G20" s="25" t="n">
        <v>8.970000000000001</v>
      </c>
      <c r="H20" s="31" t="n">
        <v>0.1559</v>
      </c>
      <c r="I20" s="31" t="n">
        <v>0.1901</v>
      </c>
      <c r="J20" s="23" t="n">
        <v>103500</v>
      </c>
    </row>
    <row r="21">
      <c r="A21" s="22" t="inlineStr">
        <is>
          <t>MED-0005</t>
        </is>
      </c>
      <c r="B21" s="22" t="inlineStr">
        <is>
          <t>Metronidazole 400 mg Tablet</t>
        </is>
      </c>
      <c r="C21" s="22" t="inlineStr">
        <is>
          <t>Medicines</t>
        </is>
      </c>
      <c r="D21" s="25" t="n">
        <v>2.1</v>
      </c>
      <c r="E21" s="25" t="n">
        <v>2.17</v>
      </c>
      <c r="F21" s="25" t="n">
        <v>2.71</v>
      </c>
      <c r="G21" s="25" t="n">
        <v>2.31</v>
      </c>
      <c r="H21" s="31" t="n">
        <v>0.2488</v>
      </c>
      <c r="I21" s="31" t="n">
        <v>0.2905</v>
      </c>
      <c r="J21" s="23" t="n">
        <v>277000</v>
      </c>
    </row>
    <row r="22">
      <c r="A22" s="22" t="inlineStr">
        <is>
          <t>MED-0010</t>
        </is>
      </c>
      <c r="B22" s="22" t="inlineStr">
        <is>
          <t>Ringer's Lactate 500 ml</t>
        </is>
      </c>
      <c r="C22" s="22" t="inlineStr">
        <is>
          <t>Medicines</t>
        </is>
      </c>
      <c r="D22" s="25" t="n">
        <v>132</v>
      </c>
      <c r="E22" s="25" t="n">
        <v>138.59</v>
      </c>
      <c r="F22" s="25" t="n">
        <v>153.01</v>
      </c>
      <c r="G22" s="25" t="n">
        <v>146.14</v>
      </c>
      <c r="H22" s="31" t="n">
        <v>0.104</v>
      </c>
      <c r="I22" s="31" t="n">
        <v>0.1592</v>
      </c>
      <c r="J22" s="23" t="n">
        <v>36140</v>
      </c>
    </row>
    <row r="23">
      <c r="A23" s="22" t="inlineStr">
        <is>
          <t>MED-0020</t>
        </is>
      </c>
      <c r="B23" s="22" t="inlineStr">
        <is>
          <t>Isoniazid 300 mg Tablet</t>
        </is>
      </c>
      <c r="C23" s="22" t="inlineStr">
        <is>
          <t>Medicines</t>
        </is>
      </c>
      <c r="D23" s="25" t="n">
        <v>3.9</v>
      </c>
      <c r="E23" s="25" t="n">
        <v>4.14</v>
      </c>
      <c r="F23" s="25" t="n">
        <v>4.47</v>
      </c>
      <c r="G23" s="25" t="n">
        <v>4.33</v>
      </c>
      <c r="H23" s="31" t="n">
        <v>0.07969999999999999</v>
      </c>
      <c r="I23" s="31" t="n">
        <v>0.1462</v>
      </c>
      <c r="J23" s="23" t="n">
        <v>199000</v>
      </c>
    </row>
    <row r="24">
      <c r="A24" s="22" t="inlineStr">
        <is>
          <t>MED-0027</t>
        </is>
      </c>
      <c r="B24" s="22" t="inlineStr">
        <is>
          <t>Adrenaline 1 mg/ml Injection</t>
        </is>
      </c>
      <c r="C24" s="22" t="inlineStr">
        <is>
          <t>Medicines</t>
        </is>
      </c>
      <c r="D24" s="25" t="n">
        <v>68</v>
      </c>
      <c r="E24" s="25" t="n">
        <v>66.5</v>
      </c>
      <c r="F24" s="25" t="n">
        <v>79.54000000000001</v>
      </c>
      <c r="G24" s="25" t="n">
        <v>75.39</v>
      </c>
      <c r="H24" s="31" t="n">
        <v>0.1961</v>
      </c>
      <c r="I24" s="31" t="n">
        <v>0.1697</v>
      </c>
      <c r="J24" s="23" t="n">
        <v>5860</v>
      </c>
    </row>
    <row r="25">
      <c r="A25" s="22" t="inlineStr">
        <is>
          <t>MED-0012</t>
        </is>
      </c>
      <c r="B25" s="22" t="inlineStr">
        <is>
          <t>Tetanus Toxoid Vaccine 0.5 ml</t>
        </is>
      </c>
      <c r="C25" s="22" t="inlineStr">
        <is>
          <t>Medicines</t>
        </is>
      </c>
      <c r="D25" s="25" t="n">
        <v>96</v>
      </c>
      <c r="E25" s="25" t="n">
        <v>95.42</v>
      </c>
      <c r="F25" s="25" t="n">
        <v>123.69</v>
      </c>
      <c r="G25" s="25" t="n">
        <v>106.33</v>
      </c>
      <c r="H25" s="31" t="n">
        <v>0.2963</v>
      </c>
      <c r="I25" s="31" t="n">
        <v>0.2884</v>
      </c>
      <c r="J25" s="23" t="n">
        <v>36560</v>
      </c>
    </row>
    <row r="26">
      <c r="A26" s="22" t="inlineStr">
        <is>
          <t>CON-0019</t>
        </is>
      </c>
      <c r="B26" s="22" t="inlineStr">
        <is>
          <t>Hand Sanitiser 500 ml</t>
        </is>
      </c>
      <c r="C26" s="22" t="inlineStr">
        <is>
          <t>Medical Consumables</t>
        </is>
      </c>
      <c r="D26" s="25" t="n">
        <v>385</v>
      </c>
      <c r="E26" s="25" t="n">
        <v>398.85</v>
      </c>
      <c r="F26" s="25" t="n">
        <v>475.52</v>
      </c>
      <c r="G26" s="25" t="n">
        <v>428.32</v>
      </c>
      <c r="H26" s="31" t="n">
        <v>0.1922</v>
      </c>
      <c r="I26" s="31" t="n">
        <v>0.2351</v>
      </c>
      <c r="J26" s="23" t="n">
        <v>9984</v>
      </c>
    </row>
    <row r="27">
      <c r="A27" s="22" t="inlineStr">
        <is>
          <t>CON-0020</t>
        </is>
      </c>
      <c r="B27" s="22" t="inlineStr">
        <is>
          <t>Sputum Collection Container</t>
        </is>
      </c>
      <c r="C27" s="22" t="inlineStr">
        <is>
          <t>Medical Consumables</t>
        </is>
      </c>
      <c r="D27" s="25" t="n">
        <v>26</v>
      </c>
      <c r="E27" s="25" t="n">
        <v>24.61</v>
      </c>
      <c r="F27" s="25" t="n">
        <v>33.64</v>
      </c>
      <c r="G27" s="25" t="n">
        <v>29.23</v>
      </c>
      <c r="H27" s="31" t="n">
        <v>0.3669</v>
      </c>
      <c r="I27" s="31" t="n">
        <v>0.2938</v>
      </c>
      <c r="J27" s="23" t="n">
        <v>85300</v>
      </c>
    </row>
    <row r="28">
      <c r="A28" s="22" t="inlineStr">
        <is>
          <t>MED-0024</t>
        </is>
      </c>
      <c r="B28" s="22" t="inlineStr">
        <is>
          <t>Artemether + Lumefantrine 20/120 mg</t>
        </is>
      </c>
      <c r="C28" s="22" t="inlineStr">
        <is>
          <t>Medicines</t>
        </is>
      </c>
      <c r="D28" s="25" t="n">
        <v>118</v>
      </c>
      <c r="E28" s="25" t="n">
        <v>122.95</v>
      </c>
      <c r="F28" s="25" t="n">
        <v>148.89</v>
      </c>
      <c r="G28" s="25" t="n">
        <v>131.27</v>
      </c>
      <c r="H28" s="31" t="n">
        <v>0.211</v>
      </c>
      <c r="I28" s="31" t="n">
        <v>0.2618</v>
      </c>
      <c r="J28" s="23" t="n">
        <v>21570</v>
      </c>
    </row>
    <row r="29">
      <c r="A29" s="22" t="inlineStr">
        <is>
          <t>MED-0003</t>
        </is>
      </c>
      <c r="B29" s="22" t="inlineStr">
        <is>
          <t>Amoxicillin + Clavulanic Acid 625 mg</t>
        </is>
      </c>
      <c r="C29" s="22" t="inlineStr">
        <is>
          <t>Medicines</t>
        </is>
      </c>
      <c r="D29" s="25" t="n">
        <v>38.5</v>
      </c>
      <c r="E29" s="25" t="n">
        <v>37.15</v>
      </c>
      <c r="F29" s="25" t="n">
        <v>49.72</v>
      </c>
      <c r="G29" s="25" t="n">
        <v>42.96</v>
      </c>
      <c r="H29" s="31" t="n">
        <v>0.3384</v>
      </c>
      <c r="I29" s="31" t="n">
        <v>0.2914</v>
      </c>
      <c r="J29" s="23" t="n">
        <v>27900</v>
      </c>
    </row>
    <row r="30">
      <c r="A30" s="22" t="inlineStr">
        <is>
          <t>MED-0018</t>
        </is>
      </c>
      <c r="B30" s="22" t="inlineStr">
        <is>
          <t>Vitamin A 200,000 IU Capsule</t>
        </is>
      </c>
      <c r="C30" s="22" t="inlineStr">
        <is>
          <t>Medicines</t>
        </is>
      </c>
      <c r="D30" s="25" t="n">
        <v>12.4</v>
      </c>
      <c r="E30" s="25" t="n">
        <v>11.97</v>
      </c>
      <c r="F30" s="25" t="n">
        <v>15.9</v>
      </c>
      <c r="G30" s="25" t="n">
        <v>13.8</v>
      </c>
      <c r="H30" s="31" t="n">
        <v>0.3283</v>
      </c>
      <c r="I30" s="31" t="n">
        <v>0.2823</v>
      </c>
      <c r="J30" s="23" t="n">
        <v>73700</v>
      </c>
    </row>
    <row r="31">
      <c r="A31" s="22" t="inlineStr">
        <is>
          <t>MED-0028</t>
        </is>
      </c>
      <c r="B31" s="22" t="inlineStr">
        <is>
          <t>Atropine 0.6 mg/ml Injection</t>
        </is>
      </c>
      <c r="C31" s="22" t="inlineStr">
        <is>
          <t>Medicines</t>
        </is>
      </c>
      <c r="D31" s="25" t="n">
        <v>39</v>
      </c>
      <c r="E31" s="25" t="n">
        <v>39.21</v>
      </c>
      <c r="F31" s="25" t="n">
        <v>44.66</v>
      </c>
      <c r="G31" s="25" t="n">
        <v>43.15</v>
      </c>
      <c r="H31" s="31" t="n">
        <v>0.139</v>
      </c>
      <c r="I31" s="31" t="n">
        <v>0.1451</v>
      </c>
      <c r="J31" s="23" t="n">
        <v>4770</v>
      </c>
    </row>
    <row r="32">
      <c r="A32" s="22" t="inlineStr">
        <is>
          <t>MED-0030</t>
        </is>
      </c>
      <c r="B32" s="22" t="inlineStr">
        <is>
          <t>Insulin Regular 100 IU/ml</t>
        </is>
      </c>
      <c r="C32" s="22" t="inlineStr">
        <is>
          <t>Medicines</t>
        </is>
      </c>
      <c r="D32" s="25" t="n">
        <v>540</v>
      </c>
      <c r="E32" s="25" t="n">
        <v>566.6900000000001</v>
      </c>
      <c r="F32" s="25" t="n">
        <v>613.2</v>
      </c>
      <c r="G32" s="25" t="n">
        <v>593.02</v>
      </c>
      <c r="H32" s="31" t="n">
        <v>0.08210000000000001</v>
      </c>
      <c r="I32" s="31" t="n">
        <v>0.1356</v>
      </c>
      <c r="J32" s="23" t="n">
        <v>10520</v>
      </c>
    </row>
    <row r="33">
      <c r="A33" s="22" t="inlineStr">
        <is>
          <t>MED-0013</t>
        </is>
      </c>
      <c r="B33" s="22" t="inlineStr">
        <is>
          <t>Misoprostol 200 mcg Tablet</t>
        </is>
      </c>
      <c r="C33" s="22" t="inlineStr">
        <is>
          <t>Medicines</t>
        </is>
      </c>
      <c r="D33" s="25" t="n">
        <v>26</v>
      </c>
      <c r="E33" s="25" t="n">
        <v>26.17</v>
      </c>
      <c r="F33" s="25" t="n">
        <v>31.35</v>
      </c>
      <c r="G33" s="25" t="n">
        <v>28.89</v>
      </c>
      <c r="H33" s="31" t="n">
        <v>0.1979</v>
      </c>
      <c r="I33" s="31" t="n">
        <v>0.2058</v>
      </c>
      <c r="J33" s="23" t="n">
        <v>12960</v>
      </c>
    </row>
    <row r="34">
      <c r="A34" s="22" t="inlineStr">
        <is>
          <t>CON-0002</t>
        </is>
      </c>
      <c r="B34" s="22" t="inlineStr">
        <is>
          <t>Surgical Gloves, Sterile 7.5 (Pair)</t>
        </is>
      </c>
      <c r="C34" s="22" t="inlineStr">
        <is>
          <t>Medical Consumables</t>
        </is>
      </c>
      <c r="D34" s="25" t="n">
        <v>62</v>
      </c>
      <c r="E34" s="25" t="n">
        <v>65.40000000000001</v>
      </c>
      <c r="F34" s="25" t="n">
        <v>74.52</v>
      </c>
      <c r="G34" s="25" t="n">
        <v>68.31</v>
      </c>
      <c r="H34" s="31" t="n">
        <v>0.1394</v>
      </c>
      <c r="I34" s="31" t="n">
        <v>0.2019</v>
      </c>
      <c r="J34" s="23" t="n">
        <v>62250</v>
      </c>
    </row>
    <row r="35">
      <c r="A35" s="22" t="inlineStr">
        <is>
          <t>MED-0006</t>
        </is>
      </c>
      <c r="B35" s="22" t="inlineStr">
        <is>
          <t>Ciprofloxacin 500 mg Tablet</t>
        </is>
      </c>
      <c r="C35" s="22" t="inlineStr">
        <is>
          <t>Medicines</t>
        </is>
      </c>
      <c r="D35" s="25" t="n">
        <v>6.8</v>
      </c>
      <c r="E35" s="25" t="n">
        <v>6.74</v>
      </c>
      <c r="F35" s="25" t="n">
        <v>8.029999999999999</v>
      </c>
      <c r="G35" s="25" t="n">
        <v>7.52</v>
      </c>
      <c r="H35" s="31" t="n">
        <v>0.1914</v>
      </c>
      <c r="I35" s="31" t="n">
        <v>0.1809</v>
      </c>
      <c r="J35" s="23" t="n">
        <v>54800</v>
      </c>
    </row>
    <row r="36">
      <c r="A36" s="22" t="inlineStr">
        <is>
          <t>MED-0025</t>
        </is>
      </c>
      <c r="B36" s="22" t="inlineStr">
        <is>
          <t>Salbutamol Inhaler 100 mcg</t>
        </is>
      </c>
      <c r="C36" s="22" t="inlineStr">
        <is>
          <t>Medicines</t>
        </is>
      </c>
      <c r="D36" s="25" t="n">
        <v>268</v>
      </c>
      <c r="E36" s="25" t="n">
        <v>271.76</v>
      </c>
      <c r="F36" s="25" t="n">
        <v>339.81</v>
      </c>
      <c r="G36" s="25" t="n">
        <v>297.74</v>
      </c>
      <c r="H36" s="31" t="n">
        <v>0.2504</v>
      </c>
      <c r="I36" s="31" t="n">
        <v>0.2679</v>
      </c>
      <c r="J36" s="23" t="n">
        <v>15973</v>
      </c>
    </row>
    <row r="37">
      <c r="A37" s="22" t="inlineStr">
        <is>
          <t>MED-0026</t>
        </is>
      </c>
      <c r="B37" s="22" t="inlineStr">
        <is>
          <t>Hydrocortisone 100 mg Injection</t>
        </is>
      </c>
      <c r="C37" s="22" t="inlineStr">
        <is>
          <t>Medicines</t>
        </is>
      </c>
      <c r="D37" s="25" t="n">
        <v>52</v>
      </c>
      <c r="E37" s="25" t="n">
        <v>49.65</v>
      </c>
      <c r="F37" s="25" t="n">
        <v>64.94</v>
      </c>
      <c r="G37" s="25" t="n">
        <v>57.82</v>
      </c>
      <c r="H37" s="31" t="n">
        <v>0.308</v>
      </c>
      <c r="I37" s="31" t="n">
        <v>0.2488</v>
      </c>
      <c r="J37" s="23" t="n">
        <v>7328</v>
      </c>
    </row>
    <row r="38">
      <c r="A38" s="22" t="inlineStr">
        <is>
          <t>CON-0004</t>
        </is>
      </c>
      <c r="B38" s="22" t="inlineStr">
        <is>
          <t>Disposable Syringe 10 ml with Needle</t>
        </is>
      </c>
      <c r="C38" s="22" t="inlineStr">
        <is>
          <t>Medical Consumables</t>
        </is>
      </c>
      <c r="D38" s="25" t="n">
        <v>27</v>
      </c>
      <c r="E38" s="25" t="n">
        <v>25.63</v>
      </c>
      <c r="F38" s="25" t="n">
        <v>31.66</v>
      </c>
      <c r="G38" s="25" t="n">
        <v>29.91</v>
      </c>
      <c r="H38" s="31" t="n">
        <v>0.2353</v>
      </c>
      <c r="I38" s="31" t="n">
        <v>0.1726</v>
      </c>
      <c r="J38" s="23" t="n">
        <v>257000</v>
      </c>
    </row>
    <row r="39">
      <c r="A39" s="22" t="inlineStr">
        <is>
          <t>MED-0029</t>
        </is>
      </c>
      <c r="B39" s="22" t="inlineStr">
        <is>
          <t>Diclofenac 75 mg Injection</t>
        </is>
      </c>
      <c r="C39" s="22" t="inlineStr">
        <is>
          <t>Medicines</t>
        </is>
      </c>
      <c r="D39" s="25" t="n">
        <v>28.5</v>
      </c>
      <c r="E39" s="25" t="n">
        <v>29.34</v>
      </c>
      <c r="F39" s="25" t="n">
        <v>36.39</v>
      </c>
      <c r="G39" s="25" t="n">
        <v>31.51</v>
      </c>
      <c r="H39" s="31" t="n">
        <v>0.2403</v>
      </c>
      <c r="I39" s="31" t="n">
        <v>0.2768</v>
      </c>
      <c r="J39" s="23" t="n">
        <v>26340</v>
      </c>
    </row>
    <row r="40">
      <c r="A40" s="22" t="inlineStr">
        <is>
          <t>MED-0007</t>
        </is>
      </c>
      <c r="B40" s="22" t="inlineStr">
        <is>
          <t>ORS Sachet (Low Osmolarity)</t>
        </is>
      </c>
      <c r="C40" s="22" t="inlineStr">
        <is>
          <t>Medicines</t>
        </is>
      </c>
      <c r="D40" s="25" t="n">
        <v>22.5</v>
      </c>
      <c r="E40" s="25" t="n">
        <v>21.59</v>
      </c>
      <c r="F40" s="25" t="n">
        <v>28.38</v>
      </c>
      <c r="G40" s="25" t="n">
        <v>25.17</v>
      </c>
      <c r="H40" s="31" t="n">
        <v>0.3145</v>
      </c>
      <c r="I40" s="31" t="n">
        <v>0.2613</v>
      </c>
      <c r="J40" s="23" t="n">
        <v>571500</v>
      </c>
    </row>
    <row r="41">
      <c r="A41" s="22" t="inlineStr">
        <is>
          <t>MED-0031</t>
        </is>
      </c>
      <c r="B41" s="22" t="inlineStr">
        <is>
          <t>Deferasirox 500 mg Tablet</t>
        </is>
      </c>
      <c r="C41" s="22" t="inlineStr">
        <is>
          <t>Medicines</t>
        </is>
      </c>
      <c r="D41" s="25" t="n">
        <v>1450</v>
      </c>
      <c r="E41" s="25" t="n">
        <v>1442.17</v>
      </c>
      <c r="F41" s="25" t="n">
        <v>1668.79</v>
      </c>
      <c r="G41" s="25" t="n">
        <v>1615.82</v>
      </c>
      <c r="H41" s="31" t="n">
        <v>0.1571</v>
      </c>
      <c r="I41" s="31" t="n">
        <v>0.1509</v>
      </c>
      <c r="J41" s="23" t="n">
        <v>13710</v>
      </c>
    </row>
    <row r="42">
      <c r="A42" s="22" t="inlineStr">
        <is>
          <t>MED-0033</t>
        </is>
      </c>
      <c r="B42" s="22" t="inlineStr">
        <is>
          <t>Calcium Carbonate + Vitamin D3</t>
        </is>
      </c>
      <c r="C42" s="22" t="inlineStr">
        <is>
          <t>Medicines</t>
        </is>
      </c>
      <c r="D42" s="25" t="n">
        <v>6.2</v>
      </c>
      <c r="E42" s="25" t="n">
        <v>6.37</v>
      </c>
      <c r="F42" s="25" t="n">
        <v>7.96</v>
      </c>
      <c r="G42" s="25" t="n">
        <v>6.86</v>
      </c>
      <c r="H42" s="31" t="n">
        <v>0.2496</v>
      </c>
      <c r="I42" s="31" t="n">
        <v>0.2839</v>
      </c>
      <c r="J42" s="23" t="n">
        <v>108000</v>
      </c>
    </row>
    <row r="43">
      <c r="A43" s="22" t="inlineStr">
        <is>
          <t>CON-0018</t>
        </is>
      </c>
      <c r="B43" s="22" t="inlineStr">
        <is>
          <t>Blood Transfusion Set</t>
        </is>
      </c>
      <c r="C43" s="22" t="inlineStr">
        <is>
          <t>Medical Consumables</t>
        </is>
      </c>
      <c r="D43" s="25" t="n">
        <v>195</v>
      </c>
      <c r="E43" s="25" t="n">
        <v>199.38</v>
      </c>
      <c r="F43" s="25" t="n">
        <v>253.6</v>
      </c>
      <c r="G43" s="25" t="n">
        <v>215.25</v>
      </c>
      <c r="H43" s="31" t="n">
        <v>0.2719</v>
      </c>
      <c r="I43" s="31" t="n">
        <v>0.3005</v>
      </c>
      <c r="J43" s="23" t="n">
        <v>5350</v>
      </c>
    </row>
    <row r="44">
      <c r="A44" s="22" t="inlineStr">
        <is>
          <t>MED-0001</t>
        </is>
      </c>
      <c r="B44" s="22" t="inlineStr">
        <is>
          <t>Paracetamol 500 mg Tablet</t>
        </is>
      </c>
      <c r="C44" s="22" t="inlineStr">
        <is>
          <t>Medicines</t>
        </is>
      </c>
      <c r="D44" s="25" t="n">
        <v>1.15</v>
      </c>
      <c r="E44" s="25" t="n">
        <v>1.13</v>
      </c>
      <c r="F44" s="25" t="n">
        <v>1.31</v>
      </c>
      <c r="G44" s="25" t="n">
        <v>1.27</v>
      </c>
      <c r="H44" s="31" t="n">
        <v>0.1593</v>
      </c>
      <c r="I44" s="31" t="n">
        <v>0.1391</v>
      </c>
      <c r="J44" s="23" t="n">
        <v>942000</v>
      </c>
    </row>
    <row r="45">
      <c r="A45" s="22" t="inlineStr">
        <is>
          <t>CON-0012</t>
        </is>
      </c>
      <c r="B45" s="22" t="inlineStr">
        <is>
          <t>Alcohol Swab</t>
        </is>
      </c>
      <c r="C45" s="22" t="inlineStr">
        <is>
          <t>Medical Consumables</t>
        </is>
      </c>
      <c r="D45" s="25" t="n">
        <v>2.4</v>
      </c>
      <c r="E45" s="25" t="n">
        <v>2.55</v>
      </c>
      <c r="F45" s="25" t="n">
        <v>3.06</v>
      </c>
      <c r="G45" s="25" t="n">
        <v>2.68</v>
      </c>
      <c r="H45" s="31" t="n">
        <v>0.2</v>
      </c>
      <c r="I45" s="31" t="n">
        <v>0.275</v>
      </c>
      <c r="J45" s="23" t="n">
        <v>392500</v>
      </c>
    </row>
    <row r="46">
      <c r="A46" s="22" t="inlineStr">
        <is>
          <t>CON-0007</t>
        </is>
      </c>
      <c r="B46" s="22" t="inlineStr">
        <is>
          <t>Cotton Wool Roll 500 g</t>
        </is>
      </c>
      <c r="C46" s="22" t="inlineStr">
        <is>
          <t>Medical Consumables</t>
        </is>
      </c>
      <c r="D46" s="25" t="n">
        <v>245</v>
      </c>
      <c r="E46" s="25" t="n">
        <v>251.78</v>
      </c>
      <c r="F46" s="25" t="n">
        <v>318.85</v>
      </c>
      <c r="G46" s="25" t="n">
        <v>273.86</v>
      </c>
      <c r="H46" s="31" t="n">
        <v>0.2664</v>
      </c>
      <c r="I46" s="31" t="n">
        <v>0.3014</v>
      </c>
      <c r="J46" s="23" t="n">
        <v>9900</v>
      </c>
    </row>
    <row r="47">
      <c r="A47" s="22" t="inlineStr">
        <is>
          <t>CON-0017</t>
        </is>
      </c>
      <c r="B47" s="22" t="inlineStr">
        <is>
          <t>Suture Polyglactin 2-0</t>
        </is>
      </c>
      <c r="C47" s="22" t="inlineStr">
        <is>
          <t>Medical Consumables</t>
        </is>
      </c>
      <c r="D47" s="25" t="n">
        <v>310</v>
      </c>
      <c r="E47" s="25" t="n">
        <v>302.18</v>
      </c>
      <c r="F47" s="25" t="n">
        <v>378.95</v>
      </c>
      <c r="G47" s="25" t="n">
        <v>345.1</v>
      </c>
      <c r="H47" s="31" t="n">
        <v>0.2541</v>
      </c>
      <c r="I47" s="31" t="n">
        <v>0.2224</v>
      </c>
      <c r="J47" s="23" t="n">
        <v>6420</v>
      </c>
    </row>
    <row r="48">
      <c r="A48" s="22" t="inlineStr">
        <is>
          <t>MED-0017</t>
        </is>
      </c>
      <c r="B48" s="22" t="inlineStr">
        <is>
          <t>Zinc Sulphate 20 mg Dispersible Tablet</t>
        </is>
      </c>
      <c r="C48" s="22" t="inlineStr">
        <is>
          <t>Medicines</t>
        </is>
      </c>
      <c r="D48" s="25" t="n">
        <v>3.1</v>
      </c>
      <c r="E48" s="25" t="n">
        <v>2.94</v>
      </c>
      <c r="F48" s="25" t="n">
        <v>3.95</v>
      </c>
      <c r="G48" s="25" t="n">
        <v>3.44</v>
      </c>
      <c r="H48" s="31" t="n">
        <v>0.3435</v>
      </c>
      <c r="I48" s="31" t="n">
        <v>0.2742</v>
      </c>
      <c r="J48" s="23" t="n">
        <v>298500</v>
      </c>
    </row>
    <row r="49">
      <c r="A49" s="22" t="inlineStr">
        <is>
          <t>MED-0023</t>
        </is>
      </c>
      <c r="B49" s="22" t="inlineStr">
        <is>
          <t>Mebendazole 100 mg Tablet</t>
        </is>
      </c>
      <c r="C49" s="22" t="inlineStr">
        <is>
          <t>Medicines</t>
        </is>
      </c>
      <c r="D49" s="25" t="n">
        <v>2.6</v>
      </c>
      <c r="E49" s="25" t="n">
        <v>2.58</v>
      </c>
      <c r="F49" s="25" t="n">
        <v>3.11</v>
      </c>
      <c r="G49" s="25" t="n">
        <v>2.88</v>
      </c>
      <c r="H49" s="31" t="n">
        <v>0.2054</v>
      </c>
      <c r="I49" s="31" t="n">
        <v>0.1962</v>
      </c>
      <c r="J49" s="23" t="n">
        <v>235500</v>
      </c>
    </row>
    <row r="50">
      <c r="A50" s="22" t="inlineStr">
        <is>
          <t>CON-0008</t>
        </is>
      </c>
      <c r="B50" s="22" t="inlineStr">
        <is>
          <t>Gauze Piece Sterile 10x10 cm</t>
        </is>
      </c>
      <c r="C50" s="22" t="inlineStr">
        <is>
          <t>Medical Consumables</t>
        </is>
      </c>
      <c r="D50" s="25" t="n">
        <v>9.800000000000001</v>
      </c>
      <c r="E50" s="25" t="n">
        <v>9.369999999999999</v>
      </c>
      <c r="F50" s="25" t="n">
        <v>11.15</v>
      </c>
      <c r="G50" s="25" t="n">
        <v>10.87</v>
      </c>
      <c r="H50" s="31" t="n">
        <v>0.19</v>
      </c>
      <c r="I50" s="31" t="n">
        <v>0.1378</v>
      </c>
      <c r="J50" s="23" t="n">
        <v>547400</v>
      </c>
    </row>
    <row r="51">
      <c r="A51" s="22" t="inlineStr">
        <is>
          <t>CON-0003</t>
        </is>
      </c>
      <c r="B51" s="22" t="inlineStr">
        <is>
          <t>Disposable Syringe 5 ml with Needle</t>
        </is>
      </c>
      <c r="C51" s="22" t="inlineStr">
        <is>
          <t>Medical Consumables</t>
        </is>
      </c>
      <c r="D51" s="25" t="n">
        <v>21.5</v>
      </c>
      <c r="E51" s="25" t="n">
        <v>22.99</v>
      </c>
      <c r="F51" s="25" t="n">
        <v>24.55</v>
      </c>
      <c r="G51" s="25" t="n">
        <v>23.98</v>
      </c>
      <c r="H51" s="31" t="n">
        <v>0.0679</v>
      </c>
      <c r="I51" s="31" t="n">
        <v>0.1419</v>
      </c>
      <c r="J51" s="23" t="n">
        <v>521300</v>
      </c>
    </row>
    <row r="52">
      <c r="A52" s="22" t="inlineStr">
        <is>
          <t>CON-0005</t>
        </is>
      </c>
      <c r="B52" s="22" t="inlineStr">
        <is>
          <t>IV Cannula 22G</t>
        </is>
      </c>
      <c r="C52" s="22" t="inlineStr">
        <is>
          <t>Medical Consumables</t>
        </is>
      </c>
      <c r="D52" s="25" t="n">
        <v>46</v>
      </c>
      <c r="E52" s="25" t="n">
        <v>49.77</v>
      </c>
      <c r="F52" s="25" t="n">
        <v>56.22</v>
      </c>
      <c r="G52" s="25" t="n">
        <v>51.01</v>
      </c>
      <c r="H52" s="31" t="n">
        <v>0.1296</v>
      </c>
      <c r="I52" s="31" t="n">
        <v>0.2222</v>
      </c>
      <c r="J52" s="23" t="n">
        <v>44350</v>
      </c>
    </row>
    <row r="53">
      <c r="A53" s="22" t="inlineStr">
        <is>
          <t>CON-0011</t>
        </is>
      </c>
      <c r="B53" s="22" t="inlineStr">
        <is>
          <t>Nitrile Examination Gloves (Box 100)</t>
        </is>
      </c>
      <c r="C53" s="22" t="inlineStr">
        <is>
          <t>Medical Consumables</t>
        </is>
      </c>
      <c r="D53" s="25" t="n">
        <v>1280</v>
      </c>
      <c r="E53" s="25" t="n">
        <v>1360.1</v>
      </c>
      <c r="F53" s="25" t="n">
        <v>1604.36</v>
      </c>
      <c r="G53" s="25" t="n">
        <v>1429.92</v>
      </c>
      <c r="H53" s="31" t="n">
        <v>0.1796</v>
      </c>
      <c r="I53" s="31" t="n">
        <v>0.2534</v>
      </c>
      <c r="J53" s="23" t="n">
        <v>2365</v>
      </c>
    </row>
    <row r="54">
      <c r="A54" s="22" t="inlineStr">
        <is>
          <t>CON-0009</t>
        </is>
      </c>
      <c r="B54" s="22" t="inlineStr">
        <is>
          <t>Adhesive Bandage 10 cm x 4 m</t>
        </is>
      </c>
      <c r="C54" s="22" t="inlineStr">
        <is>
          <t>Medical Consumables</t>
        </is>
      </c>
      <c r="D54" s="25" t="n">
        <v>96</v>
      </c>
      <c r="E54" s="25" t="n">
        <v>97.27</v>
      </c>
      <c r="F54" s="25" t="n">
        <v>109.33</v>
      </c>
      <c r="G54" s="25" t="n">
        <v>106.85</v>
      </c>
      <c r="H54" s="31" t="n">
        <v>0.124</v>
      </c>
      <c r="I54" s="31" t="n">
        <v>0.1389</v>
      </c>
      <c r="J54" s="23" t="n">
        <v>22836</v>
      </c>
    </row>
    <row r="55">
      <c r="A55" s="22" t="inlineStr">
        <is>
          <t>CON-0010</t>
        </is>
      </c>
      <c r="B55" s="22" t="inlineStr">
        <is>
          <t>Surgical Face Mask, 3-ply</t>
        </is>
      </c>
      <c r="C55" s="22" t="inlineStr">
        <is>
          <t>Medical Consumables</t>
        </is>
      </c>
      <c r="D55" s="25" t="n">
        <v>7.2</v>
      </c>
      <c r="E55" s="25" t="n">
        <v>7.46</v>
      </c>
      <c r="F55" s="25" t="n">
        <v>8.5</v>
      </c>
      <c r="G55" s="25" t="n">
        <v>8</v>
      </c>
      <c r="H55" s="31" t="n">
        <v>0.1394</v>
      </c>
      <c r="I55" s="31" t="n">
        <v>0.1806</v>
      </c>
      <c r="J55" s="23" t="n">
        <v>322000</v>
      </c>
    </row>
    <row r="56">
      <c r="A56" s="22" t="inlineStr">
        <is>
          <t>CON-0006</t>
        </is>
      </c>
      <c r="B56" s="22" t="inlineStr">
        <is>
          <t>IV Giving Set</t>
        </is>
      </c>
      <c r="C56" s="22" t="inlineStr">
        <is>
          <t>Medical Consumables</t>
        </is>
      </c>
      <c r="D56" s="25" t="n">
        <v>84</v>
      </c>
      <c r="E56" s="25" t="n">
        <v>83.33</v>
      </c>
      <c r="F56" s="25" t="n">
        <v>108.91</v>
      </c>
      <c r="G56" s="25" t="n">
        <v>93.51000000000001</v>
      </c>
      <c r="H56" s="31" t="n">
        <v>0.307</v>
      </c>
      <c r="I56" s="31" t="n">
        <v>0.2965</v>
      </c>
      <c r="J56" s="23" t="n">
        <v>25800</v>
      </c>
    </row>
    <row r="57">
      <c r="A57" s="22" t="inlineStr">
        <is>
          <t>LAB-0002</t>
        </is>
      </c>
      <c r="B57" s="22" t="inlineStr">
        <is>
          <t>Rapid Diagnostic Test - Malaria</t>
        </is>
      </c>
      <c r="C57" s="22" t="inlineStr">
        <is>
          <t>Laboratory</t>
        </is>
      </c>
      <c r="D57" s="25" t="n">
        <v>148</v>
      </c>
      <c r="E57" s="25" t="n">
        <v>144.27</v>
      </c>
      <c r="F57" s="25" t="n">
        <v>183.95</v>
      </c>
      <c r="G57" s="25" t="n">
        <v>164</v>
      </c>
      <c r="H57" s="31" t="n">
        <v>0.275</v>
      </c>
      <c r="I57" s="31" t="n">
        <v>0.2429</v>
      </c>
      <c r="J57" s="23" t="n">
        <v>37025</v>
      </c>
    </row>
    <row r="58">
      <c r="A58" s="22" t="inlineStr">
        <is>
          <t>CON-0001</t>
        </is>
      </c>
      <c r="B58" s="22" t="inlineStr">
        <is>
          <t>Examination Gloves, Latex (Pair)</t>
        </is>
      </c>
      <c r="C58" s="22" t="inlineStr">
        <is>
          <t>Medical Consumables</t>
        </is>
      </c>
      <c r="D58" s="25" t="n">
        <v>14.5</v>
      </c>
      <c r="E58" s="25" t="n">
        <v>14.82</v>
      </c>
      <c r="F58" s="25" t="n">
        <v>17.73</v>
      </c>
      <c r="G58" s="25" t="n">
        <v>16.17</v>
      </c>
      <c r="H58" s="31" t="n">
        <v>0.1964</v>
      </c>
      <c r="I58" s="31" t="n">
        <v>0.2228</v>
      </c>
      <c r="J58" s="23" t="n">
        <v>619200</v>
      </c>
    </row>
    <row r="59">
      <c r="A59" s="22" t="inlineStr">
        <is>
          <t>CON-0013</t>
        </is>
      </c>
      <c r="B59" s="22" t="inlineStr">
        <is>
          <t>Povidone Iodine 10% 100 ml</t>
        </is>
      </c>
      <c r="C59" s="22" t="inlineStr">
        <is>
          <t>Medical Consumables</t>
        </is>
      </c>
      <c r="D59" s="25" t="n">
        <v>168</v>
      </c>
      <c r="E59" s="25" t="n">
        <v>179.47</v>
      </c>
      <c r="F59" s="25" t="n">
        <v>194.25</v>
      </c>
      <c r="G59" s="25" t="n">
        <v>186.11</v>
      </c>
      <c r="H59" s="31" t="n">
        <v>0.0824</v>
      </c>
      <c r="I59" s="31" t="n">
        <v>0.1562</v>
      </c>
      <c r="J59" s="23" t="n">
        <v>13500</v>
      </c>
    </row>
    <row r="60">
      <c r="A60" s="22" t="inlineStr">
        <is>
          <t>CON-0016</t>
        </is>
      </c>
      <c r="B60" s="22" t="inlineStr">
        <is>
          <t>Umbilical Cord Clamp</t>
        </is>
      </c>
      <c r="C60" s="22" t="inlineStr">
        <is>
          <t>Medical Consumables</t>
        </is>
      </c>
      <c r="D60" s="25" t="n">
        <v>11.5</v>
      </c>
      <c r="E60" s="25" t="n">
        <v>11.75</v>
      </c>
      <c r="F60" s="25" t="n">
        <v>13.46</v>
      </c>
      <c r="G60" s="25" t="n">
        <v>12.85</v>
      </c>
      <c r="H60" s="31" t="n">
        <v>0.1455</v>
      </c>
      <c r="I60" s="31" t="n">
        <v>0.1704</v>
      </c>
      <c r="J60" s="23" t="n">
        <v>109200</v>
      </c>
    </row>
    <row r="61">
      <c r="A61" s="22" t="inlineStr">
        <is>
          <t>GEN-0001</t>
        </is>
      </c>
      <c r="B61" s="22" t="inlineStr">
        <is>
          <t>Nitrile Gloves, Utility (Pair)</t>
        </is>
      </c>
      <c r="C61" s="22" t="inlineStr">
        <is>
          <t>General Items</t>
        </is>
      </c>
      <c r="D61" s="25" t="n">
        <v>32</v>
      </c>
      <c r="E61" s="25" t="n">
        <v>34.38</v>
      </c>
      <c r="F61" s="25" t="n">
        <v>36.7</v>
      </c>
      <c r="G61" s="25" t="n">
        <v>35.56</v>
      </c>
      <c r="H61" s="31" t="n">
        <v>0.0675</v>
      </c>
      <c r="I61" s="31" t="n">
        <v>0.1469</v>
      </c>
      <c r="J61" s="23" t="n">
        <v>39300</v>
      </c>
    </row>
    <row r="62">
      <c r="A62" s="22" t="inlineStr">
        <is>
          <t>LAB-0008</t>
        </is>
      </c>
      <c r="B62" s="22" t="inlineStr">
        <is>
          <t>Ziehl-Neelsen Stain Kit</t>
        </is>
      </c>
      <c r="C62" s="22" t="inlineStr">
        <is>
          <t>Laboratory</t>
        </is>
      </c>
      <c r="D62" s="25" t="n">
        <v>3950</v>
      </c>
      <c r="E62" s="25" t="n">
        <v>3932.17</v>
      </c>
      <c r="F62" s="25" t="n">
        <v>4710.81</v>
      </c>
      <c r="G62" s="25" t="n">
        <v>4369.01</v>
      </c>
      <c r="H62" s="31" t="n">
        <v>0.198</v>
      </c>
      <c r="I62" s="31" t="n">
        <v>0.1926</v>
      </c>
      <c r="J62" s="23" t="n">
        <v>375</v>
      </c>
    </row>
    <row r="63">
      <c r="A63" s="22" t="inlineStr">
        <is>
          <t>NUT-0001</t>
        </is>
      </c>
      <c r="B63" s="22" t="inlineStr">
        <is>
          <t>RUTF Plumpy'Nut 92 g Sachet</t>
        </is>
      </c>
      <c r="C63" s="22" t="inlineStr">
        <is>
          <t>Nutrition</t>
        </is>
      </c>
      <c r="D63" s="25" t="n">
        <v>218</v>
      </c>
      <c r="E63" s="25" t="n">
        <v>211.95</v>
      </c>
      <c r="F63" s="25" t="n">
        <v>249.78</v>
      </c>
      <c r="G63" s="25" t="n">
        <v>243.62</v>
      </c>
      <c r="H63" s="31" t="n">
        <v>0.1785</v>
      </c>
      <c r="I63" s="31" t="n">
        <v>0.1458</v>
      </c>
      <c r="J63" s="23" t="n">
        <v>105300</v>
      </c>
    </row>
    <row r="64">
      <c r="A64" s="22" t="inlineStr">
        <is>
          <t>LAB-0003</t>
        </is>
      </c>
      <c r="B64" s="22" t="inlineStr">
        <is>
          <t>Rapid Diagnostic Test - Hepatitis B</t>
        </is>
      </c>
      <c r="C64" s="22" t="inlineStr">
        <is>
          <t>Laboratory</t>
        </is>
      </c>
      <c r="D64" s="25" t="n">
        <v>172</v>
      </c>
      <c r="E64" s="25" t="n">
        <v>172.35</v>
      </c>
      <c r="F64" s="25" t="n">
        <v>197.82</v>
      </c>
      <c r="G64" s="25" t="n">
        <v>189.42</v>
      </c>
      <c r="H64" s="31" t="n">
        <v>0.1478</v>
      </c>
      <c r="I64" s="31" t="n">
        <v>0.1501</v>
      </c>
      <c r="J64" s="23" t="n">
        <v>22775</v>
      </c>
    </row>
    <row r="65">
      <c r="A65" s="22" t="inlineStr">
        <is>
          <t>LAB-0006</t>
        </is>
      </c>
      <c r="B65" s="22" t="inlineStr">
        <is>
          <t>Blood Collection Tube EDTA 4 ml</t>
        </is>
      </c>
      <c r="C65" s="22" t="inlineStr">
        <is>
          <t>Laboratory</t>
        </is>
      </c>
      <c r="D65" s="25" t="n">
        <v>27.5</v>
      </c>
      <c r="E65" s="25" t="n">
        <v>28.94</v>
      </c>
      <c r="F65" s="25" t="n">
        <v>31.1</v>
      </c>
      <c r="G65" s="25" t="n">
        <v>30.12</v>
      </c>
      <c r="H65" s="31" t="n">
        <v>0.0746</v>
      </c>
      <c r="I65" s="31" t="n">
        <v>0.1309</v>
      </c>
      <c r="J65" s="23" t="n">
        <v>69200</v>
      </c>
    </row>
    <row r="66">
      <c r="A66" s="22" t="inlineStr">
        <is>
          <t>NUT-0005</t>
        </is>
      </c>
      <c r="B66" s="22" t="inlineStr">
        <is>
          <t>Multiple Micronutrient Powder</t>
        </is>
      </c>
      <c r="C66" s="22" t="inlineStr">
        <is>
          <t>Nutrition</t>
        </is>
      </c>
      <c r="D66" s="25" t="n">
        <v>58</v>
      </c>
      <c r="E66" s="25" t="n">
        <v>54.32</v>
      </c>
      <c r="F66" s="25" t="n">
        <v>73.31</v>
      </c>
      <c r="G66" s="25" t="n">
        <v>64.92</v>
      </c>
      <c r="H66" s="31" t="n">
        <v>0.3496</v>
      </c>
      <c r="I66" s="31" t="n">
        <v>0.264</v>
      </c>
      <c r="J66" s="23" t="n">
        <v>147390</v>
      </c>
    </row>
    <row r="67">
      <c r="A67" s="22" t="inlineStr">
        <is>
          <t>NUT-0002</t>
        </is>
      </c>
      <c r="B67" s="22" t="inlineStr">
        <is>
          <t>F-75 Therapeutic Milk 400 g</t>
        </is>
      </c>
      <c r="C67" s="22" t="inlineStr">
        <is>
          <t>Nutrition</t>
        </is>
      </c>
      <c r="D67" s="25" t="n">
        <v>690</v>
      </c>
      <c r="E67" s="25" t="n">
        <v>679.8</v>
      </c>
      <c r="F67" s="25" t="n">
        <v>808.96</v>
      </c>
      <c r="G67" s="25" t="n">
        <v>761.12</v>
      </c>
      <c r="H67" s="31" t="n">
        <v>0.19</v>
      </c>
      <c r="I67" s="31" t="n">
        <v>0.1724</v>
      </c>
      <c r="J67" s="23" t="n">
        <v>14928</v>
      </c>
    </row>
    <row r="68">
      <c r="A68" s="22" t="inlineStr">
        <is>
          <t>NUT-0006</t>
        </is>
      </c>
      <c r="B68" s="22" t="inlineStr">
        <is>
          <t>Therapeutic Zinc + ORS Combo Pack</t>
        </is>
      </c>
      <c r="C68" s="22" t="inlineStr">
        <is>
          <t>Nutrition</t>
        </is>
      </c>
      <c r="D68" s="25" t="n">
        <v>96</v>
      </c>
      <c r="E68" s="25" t="n">
        <v>101.05</v>
      </c>
      <c r="F68" s="25" t="n">
        <v>120.87</v>
      </c>
      <c r="G68" s="25" t="n">
        <v>106.74</v>
      </c>
      <c r="H68" s="31" t="n">
        <v>0.1961</v>
      </c>
      <c r="I68" s="31" t="n">
        <v>0.2591</v>
      </c>
      <c r="J68" s="23" t="n">
        <v>50140</v>
      </c>
    </row>
    <row r="69">
      <c r="A69" s="22" t="inlineStr">
        <is>
          <t>NUT-0004</t>
        </is>
      </c>
      <c r="B69" s="22" t="inlineStr">
        <is>
          <t>Ready-to-Use Supplementary Food (RUSF)</t>
        </is>
      </c>
      <c r="C69" s="22" t="inlineStr">
        <is>
          <t>Nutrition</t>
        </is>
      </c>
      <c r="D69" s="25" t="n">
        <v>145</v>
      </c>
      <c r="E69" s="25" t="n">
        <v>155.06</v>
      </c>
      <c r="F69" s="25" t="n">
        <v>170.16</v>
      </c>
      <c r="G69" s="25" t="n">
        <v>160.16</v>
      </c>
      <c r="H69" s="31" t="n">
        <v>0.0974</v>
      </c>
      <c r="I69" s="31" t="n">
        <v>0.1735</v>
      </c>
      <c r="J69" s="23" t="n">
        <v>59700</v>
      </c>
    </row>
    <row r="70">
      <c r="A70" s="22" t="inlineStr">
        <is>
          <t>GEN-0002</t>
        </is>
      </c>
      <c r="B70" s="22" t="inlineStr">
        <is>
          <t>Bleach Solution 5% 1 L</t>
        </is>
      </c>
      <c r="C70" s="22" t="inlineStr">
        <is>
          <t>General Items</t>
        </is>
      </c>
      <c r="D70" s="25" t="n">
        <v>285</v>
      </c>
      <c r="E70" s="25" t="n">
        <v>267.61</v>
      </c>
      <c r="F70" s="25" t="n">
        <v>323</v>
      </c>
      <c r="G70" s="25" t="n">
        <v>315.61</v>
      </c>
      <c r="H70" s="31" t="n">
        <v>0.207</v>
      </c>
      <c r="I70" s="31" t="n">
        <v>0.1333</v>
      </c>
      <c r="J70" s="23" t="n">
        <v>4248</v>
      </c>
    </row>
    <row r="71">
      <c r="A71" s="22" t="inlineStr">
        <is>
          <t>GEN-0004</t>
        </is>
      </c>
      <c r="B71" s="22" t="inlineStr">
        <is>
          <t>Registers &amp; Health Cards (Pack)</t>
        </is>
      </c>
      <c r="C71" s="22" t="inlineStr">
        <is>
          <t>General Items</t>
        </is>
      </c>
      <c r="D71" s="25" t="n">
        <v>890</v>
      </c>
      <c r="E71" s="25" t="n">
        <v>910.3</v>
      </c>
      <c r="F71" s="25" t="n">
        <v>1051.81</v>
      </c>
      <c r="G71" s="25" t="n">
        <v>984.9299999999999</v>
      </c>
      <c r="H71" s="31" t="n">
        <v>0.1555</v>
      </c>
      <c r="I71" s="31" t="n">
        <v>0.1818</v>
      </c>
      <c r="J71" s="23" t="n">
        <v>759</v>
      </c>
    </row>
    <row r="72">
      <c r="A72" s="22" t="inlineStr">
        <is>
          <t>LAB-0001</t>
        </is>
      </c>
      <c r="B72" s="22" t="inlineStr">
        <is>
          <t>Hemoglobin Reagent (Cyanmethemoglobin)</t>
        </is>
      </c>
      <c r="C72" s="22" t="inlineStr">
        <is>
          <t>Laboratory</t>
        </is>
      </c>
      <c r="D72" s="25" t="n">
        <v>4850</v>
      </c>
      <c r="E72" s="25" t="n">
        <v>4691.1</v>
      </c>
      <c r="F72" s="25" t="n">
        <v>6307.46</v>
      </c>
      <c r="G72" s="25" t="n">
        <v>5320.25</v>
      </c>
      <c r="H72" s="31" t="n">
        <v>0.3446</v>
      </c>
      <c r="I72" s="31" t="n">
        <v>0.3005</v>
      </c>
      <c r="J72" s="23" t="n">
        <v>808</v>
      </c>
    </row>
    <row r="73">
      <c r="A73" s="22" t="inlineStr">
        <is>
          <t>LAB-0004</t>
        </is>
      </c>
      <c r="B73" s="22" t="inlineStr">
        <is>
          <t>Rapid Diagnostic Test - Hepatitis C</t>
        </is>
      </c>
      <c r="C73" s="22" t="inlineStr">
        <is>
          <t>Laboratory</t>
        </is>
      </c>
      <c r="D73" s="25" t="n">
        <v>188</v>
      </c>
      <c r="E73" s="25" t="n">
        <v>186.09</v>
      </c>
      <c r="F73" s="25" t="n">
        <v>225.29</v>
      </c>
      <c r="G73" s="25" t="n">
        <v>206.74</v>
      </c>
      <c r="H73" s="31" t="n">
        <v>0.2107</v>
      </c>
      <c r="I73" s="31" t="n">
        <v>0.1984</v>
      </c>
      <c r="J73" s="23" t="n">
        <v>20075</v>
      </c>
    </row>
    <row r="74">
      <c r="A74" s="22" t="inlineStr">
        <is>
          <t>NUT-0003</t>
        </is>
      </c>
      <c r="B74" s="22" t="inlineStr">
        <is>
          <t>F-100 Therapeutic Milk 400 g</t>
        </is>
      </c>
      <c r="C74" s="22" t="inlineStr">
        <is>
          <t>Nutrition</t>
        </is>
      </c>
      <c r="D74" s="25" t="n">
        <v>760</v>
      </c>
      <c r="E74" s="25" t="n">
        <v>747.4400000000001</v>
      </c>
      <c r="F74" s="25" t="n">
        <v>903.65</v>
      </c>
      <c r="G74" s="25" t="n">
        <v>847.42</v>
      </c>
      <c r="H74" s="31" t="n">
        <v>0.209</v>
      </c>
      <c r="I74" s="31" t="n">
        <v>0.189</v>
      </c>
      <c r="J74" s="23" t="n">
        <v>14472</v>
      </c>
    </row>
    <row r="75">
      <c r="A75" s="22" t="inlineStr">
        <is>
          <t>LAB-0005</t>
        </is>
      </c>
      <c r="B75" s="22" t="inlineStr">
        <is>
          <t>Glucose Test Strips</t>
        </is>
      </c>
      <c r="C75" s="22" t="inlineStr">
        <is>
          <t>Laboratory</t>
        </is>
      </c>
      <c r="D75" s="25" t="n">
        <v>42</v>
      </c>
      <c r="E75" s="25" t="n">
        <v>41.35</v>
      </c>
      <c r="F75" s="25" t="n">
        <v>51.34</v>
      </c>
      <c r="G75" s="25" t="n">
        <v>46.43</v>
      </c>
      <c r="H75" s="31" t="n">
        <v>0.2416</v>
      </c>
      <c r="I75" s="31" t="n">
        <v>0.2224</v>
      </c>
      <c r="J75" s="23" t="n">
        <v>27850</v>
      </c>
    </row>
    <row r="76">
      <c r="A76" s="22" t="inlineStr">
        <is>
          <t>GEN-0007</t>
        </is>
      </c>
      <c r="B76" s="22" t="inlineStr">
        <is>
          <t>Printed IEC Material (Booklet)</t>
        </is>
      </c>
      <c r="C76" s="22" t="inlineStr">
        <is>
          <t>General Items</t>
        </is>
      </c>
      <c r="D76" s="25" t="n">
        <v>38</v>
      </c>
      <c r="E76" s="25" t="n">
        <v>39.56</v>
      </c>
      <c r="F76" s="25" t="n">
        <v>47.38</v>
      </c>
      <c r="G76" s="25" t="n">
        <v>42.03</v>
      </c>
      <c r="H76" s="31" t="n">
        <v>0.1977</v>
      </c>
      <c r="I76" s="31" t="n">
        <v>0.2468</v>
      </c>
      <c r="J76" s="23" t="n">
        <v>62400</v>
      </c>
    </row>
    <row r="77">
      <c r="A77" s="22" t="inlineStr">
        <is>
          <t>NUT-0007</t>
        </is>
      </c>
      <c r="B77" s="22" t="inlineStr">
        <is>
          <t>Infant Formula, Therapeutic (Lactogen-free)</t>
        </is>
      </c>
      <c r="C77" s="22" t="inlineStr">
        <is>
          <t>Nutrition</t>
        </is>
      </c>
      <c r="D77" s="25" t="n">
        <v>1240</v>
      </c>
      <c r="E77" s="25" t="n">
        <v>1244.98</v>
      </c>
      <c r="F77" s="25" t="n">
        <v>1565.39</v>
      </c>
      <c r="G77" s="25" t="n">
        <v>1378.28</v>
      </c>
      <c r="H77" s="31" t="n">
        <v>0.2574</v>
      </c>
      <c r="I77" s="31" t="n">
        <v>0.2624</v>
      </c>
      <c r="J77" s="23" t="n">
        <v>3996</v>
      </c>
    </row>
    <row r="78">
      <c r="A78" s="22" t="inlineStr">
        <is>
          <t>GEN-0006</t>
        </is>
      </c>
      <c r="B78" s="22" t="inlineStr">
        <is>
          <t>Biohazard Waste Bag (Pack 50)</t>
        </is>
      </c>
      <c r="C78" s="22" t="inlineStr">
        <is>
          <t>General Items</t>
        </is>
      </c>
      <c r="D78" s="25" t="n">
        <v>560</v>
      </c>
      <c r="E78" s="25" t="n">
        <v>537.5</v>
      </c>
      <c r="F78" s="25" t="n">
        <v>653.27</v>
      </c>
      <c r="G78" s="25" t="n">
        <v>621.08</v>
      </c>
      <c r="H78" s="31" t="n">
        <v>0.2154</v>
      </c>
      <c r="I78" s="31" t="n">
        <v>0.1666</v>
      </c>
      <c r="J78" s="23" t="n">
        <v>3146</v>
      </c>
    </row>
    <row r="79">
      <c r="A79" s="22" t="inlineStr">
        <is>
          <t>LAB-0007</t>
        </is>
      </c>
      <c r="B79" s="22" t="inlineStr">
        <is>
          <t>Microscope Slide, Frosted</t>
        </is>
      </c>
      <c r="C79" s="22" t="inlineStr">
        <is>
          <t>Laboratory</t>
        </is>
      </c>
      <c r="D79" s="25" t="n">
        <v>5.6</v>
      </c>
      <c r="E79" s="25" t="n">
        <v>5.5</v>
      </c>
      <c r="F79" s="25" t="n">
        <v>6.38</v>
      </c>
      <c r="G79" s="25" t="n">
        <v>6.12</v>
      </c>
      <c r="H79" s="31" t="n">
        <v>0.16</v>
      </c>
      <c r="I79" s="31" t="n">
        <v>0.1393</v>
      </c>
      <c r="J79" s="23" t="n">
        <v>49600</v>
      </c>
    </row>
    <row r="80">
      <c r="A80" s="22" t="inlineStr">
        <is>
          <t>GEN-0005</t>
        </is>
      </c>
      <c r="B80" s="22" t="inlineStr">
        <is>
          <t>Sharps Disposal Container 5 L</t>
        </is>
      </c>
      <c r="C80" s="22" t="inlineStr">
        <is>
          <t>General Items</t>
        </is>
      </c>
      <c r="D80" s="25" t="n">
        <v>420</v>
      </c>
      <c r="E80" s="25" t="n">
        <v>453.23</v>
      </c>
      <c r="F80" s="25" t="n">
        <v>509.47</v>
      </c>
      <c r="G80" s="25" t="n">
        <v>468.21</v>
      </c>
      <c r="H80" s="31" t="n">
        <v>0.1241</v>
      </c>
      <c r="I80" s="31" t="n">
        <v>0.213</v>
      </c>
      <c r="J80" s="23" t="n">
        <v>4789</v>
      </c>
    </row>
    <row r="81">
      <c r="A81" s="22" t="inlineStr">
        <is>
          <t>GEN-0003</t>
        </is>
      </c>
      <c r="B81" s="22" t="inlineStr">
        <is>
          <t>A4 Paper Ream 80 gsm</t>
        </is>
      </c>
      <c r="C81" s="22" t="inlineStr">
        <is>
          <t>General Items</t>
        </is>
      </c>
      <c r="D81" s="25" t="n">
        <v>1650</v>
      </c>
      <c r="E81" s="25" t="n">
        <v>1569.27</v>
      </c>
      <c r="F81" s="25" t="n">
        <v>2147.65</v>
      </c>
      <c r="G81" s="25" t="n">
        <v>1814.39</v>
      </c>
      <c r="H81" s="31" t="n">
        <v>0.3686</v>
      </c>
      <c r="I81" s="31" t="n">
        <v>0.3016</v>
      </c>
      <c r="J81" s="23" t="n">
        <v>795</v>
      </c>
    </row>
    <row r="82">
      <c r="A82" s="22" t="inlineStr">
        <is>
          <t>GEN-0008</t>
        </is>
      </c>
      <c r="B82" s="22" t="inlineStr">
        <is>
          <t>Hand Wash Soap 100 g</t>
        </is>
      </c>
      <c r="C82" s="22" t="inlineStr">
        <is>
          <t>General Items</t>
        </is>
      </c>
      <c r="D82" s="25" t="n">
        <v>118</v>
      </c>
      <c r="E82" s="25" t="n">
        <v>116.22</v>
      </c>
      <c r="F82" s="25" t="n">
        <v>136.49</v>
      </c>
      <c r="G82" s="25" t="n">
        <v>131.16</v>
      </c>
      <c r="H82" s="31" t="n">
        <v>0.1744</v>
      </c>
      <c r="I82" s="31" t="n">
        <v>0.1567</v>
      </c>
      <c r="J82" s="23" t="n">
        <v>7824</v>
      </c>
    </row>
    <row r="83">
      <c r="A83" s="22" t="inlineStr">
        <is>
          <t>EQP-0006</t>
        </is>
      </c>
      <c r="B83" s="22" t="inlineStr">
        <is>
          <t>Digital Thermometer</t>
        </is>
      </c>
      <c r="C83" s="22" t="inlineStr">
        <is>
          <t>Equipment</t>
        </is>
      </c>
      <c r="D83" s="25" t="n">
        <v>1450</v>
      </c>
      <c r="E83" s="25" t="n">
        <v>1610.43</v>
      </c>
      <c r="F83" s="25" t="n">
        <v>1802.85</v>
      </c>
      <c r="G83" s="25" t="n">
        <v>1697.9</v>
      </c>
      <c r="H83" s="31" t="n">
        <v>0.1195</v>
      </c>
      <c r="I83" s="31" t="n">
        <v>0.2433</v>
      </c>
      <c r="J83" s="23" t="n">
        <v>3</v>
      </c>
    </row>
    <row r="84">
      <c r="A84" s="22" t="inlineStr">
        <is>
          <t>EQP-0010</t>
        </is>
      </c>
      <c r="B84" s="22" t="inlineStr">
        <is>
          <t>Cold Box, Vaccine Carrier 5 L</t>
        </is>
      </c>
      <c r="C84" s="22" t="inlineStr">
        <is>
          <t>Equipment</t>
        </is>
      </c>
      <c r="D84" s="25" t="n">
        <v>12800</v>
      </c>
      <c r="E84" s="25" t="n">
        <v>12057.78</v>
      </c>
      <c r="F84" s="25" t="n">
        <v>12057.78</v>
      </c>
      <c r="G84" s="25" t="n">
        <v>12057.78</v>
      </c>
      <c r="H84" s="31" t="n">
        <v>0</v>
      </c>
      <c r="I84" s="31" t="n">
        <v>-0.058</v>
      </c>
      <c r="J84" s="23" t="n">
        <v>1</v>
      </c>
    </row>
    <row r="85">
      <c r="A85" s="22" t="inlineStr">
        <is>
          <t>EQP-0009</t>
        </is>
      </c>
      <c r="B85" s="22" t="inlineStr">
        <is>
          <t>Examination Couch, Folding</t>
        </is>
      </c>
      <c r="C85" s="22" t="inlineStr">
        <is>
          <t>Equipment</t>
        </is>
      </c>
      <c r="D85" s="25" t="n">
        <v>34000</v>
      </c>
      <c r="E85" s="25" t="n">
        <v>33635.12</v>
      </c>
      <c r="F85" s="25" t="n">
        <v>33635.12</v>
      </c>
      <c r="G85" s="25" t="n">
        <v>33635.12</v>
      </c>
      <c r="H85" s="31" t="n">
        <v>0</v>
      </c>
      <c r="I85" s="31" t="n">
        <v>-0.0107</v>
      </c>
      <c r="J85" s="23" t="n">
        <v>1</v>
      </c>
    </row>
    <row r="86">
      <c r="A86" s="22" t="inlineStr">
        <is>
          <t>EQP-0008</t>
        </is>
      </c>
      <c r="B86" s="22" t="inlineStr">
        <is>
          <t>Nebuliser Machine</t>
        </is>
      </c>
      <c r="C86" s="22" t="inlineStr">
        <is>
          <t>Equipment</t>
        </is>
      </c>
      <c r="D86" s="25" t="n">
        <v>14500</v>
      </c>
      <c r="E86" s="25" t="n">
        <v>15758.28</v>
      </c>
      <c r="F86" s="25" t="n">
        <v>15758.28</v>
      </c>
      <c r="G86" s="25" t="n">
        <v>15758.28</v>
      </c>
      <c r="H86" s="31" t="n">
        <v>0</v>
      </c>
      <c r="I86" s="31" t="n">
        <v>0.0868</v>
      </c>
      <c r="J86" s="23" t="n">
        <v>1</v>
      </c>
    </row>
    <row r="87">
      <c r="A87" s="22" t="inlineStr">
        <is>
          <t>EQP-0001</t>
        </is>
      </c>
      <c r="B87" s="22" t="inlineStr">
        <is>
          <t>Digital Weighing Scale, Infant</t>
        </is>
      </c>
      <c r="C87" s="22" t="inlineStr">
        <is>
          <t>Equipment</t>
        </is>
      </c>
      <c r="D87" s="25" t="n">
        <v>18500</v>
      </c>
      <c r="E87" s="25" t="n">
        <v>21650.12</v>
      </c>
      <c r="F87" s="25" t="n">
        <v>21650.12</v>
      </c>
      <c r="G87" s="25" t="n">
        <v>21650.12</v>
      </c>
      <c r="H87" s="31" t="n">
        <v>0</v>
      </c>
      <c r="I87" s="31" t="n">
        <v>0.1703</v>
      </c>
      <c r="J87" s="23" t="n">
        <v>1</v>
      </c>
    </row>
    <row r="88">
      <c r="A88" s="22" t="inlineStr">
        <is>
          <t>EQP-0007</t>
        </is>
      </c>
      <c r="B88" s="22" t="inlineStr">
        <is>
          <t>Pulse Oximeter, Fingertip</t>
        </is>
      </c>
      <c r="C88" s="22" t="inlineStr">
        <is>
          <t>Equipment</t>
        </is>
      </c>
      <c r="D88" s="25" t="n">
        <v>6800</v>
      </c>
      <c r="E88" s="25" t="n">
        <v>8582.08</v>
      </c>
      <c r="F88" s="25" t="n">
        <v>8582.08</v>
      </c>
      <c r="G88" s="25" t="n">
        <v>8582.08</v>
      </c>
      <c r="H88" s="31" t="n">
        <v>0</v>
      </c>
      <c r="I88" s="31" t="n">
        <v>0.2621</v>
      </c>
      <c r="J88" s="23" t="n">
        <v>1</v>
      </c>
    </row>
    <row r="89">
      <c r="A89" s="26" t="inlineStr"/>
      <c r="B89" s="26" t="inlineStr">
        <is>
          <t>AVERAGE / TOTAL</t>
        </is>
      </c>
      <c r="C89" s="26" t="inlineStr"/>
      <c r="D89" s="26" t="inlineStr"/>
      <c r="E89" s="26" t="inlineStr"/>
      <c r="F89" s="26" t="inlineStr"/>
      <c r="G89" s="26" t="inlineStr"/>
      <c r="H89" s="32" t="n">
        <v>0.1909</v>
      </c>
      <c r="I89" s="32" t="n">
        <v>0.2066</v>
      </c>
      <c r="J89" s="27" t="n">
        <v>9355061</v>
      </c>
    </row>
  </sheetData>
  <mergeCells count="1"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2A65A"/>
    <outlinePr summaryBelow="1" summaryRight="1"/>
    <pageSetUpPr/>
  </sheetPr>
  <dimension ref="A1:J99"/>
  <sheetViews>
    <sheetView showGridLines="0" zoomScale="90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20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Stock on Hand, Cover and Expiry Risk</t>
        </is>
      </c>
    </row>
    <row r="2">
      <c r="A2" s="2" t="inlineStr">
        <is>
          <t>Balances as at 30-Sep-2026. Days of cover uses consumption over the last 90 days.</t>
        </is>
      </c>
    </row>
    <row r="3" ht="6" customHeight="1"/>
    <row r="5" ht="30" customHeight="1">
      <c r="A5" s="11" t="inlineStr">
        <is>
          <t>Item ID</t>
        </is>
      </c>
      <c r="B5" s="11" t="inlineStr">
        <is>
          <t>Item description</t>
        </is>
      </c>
      <c r="C5" s="11" t="inlineStr">
        <is>
          <t>Category</t>
        </is>
      </c>
      <c r="D5" s="11" t="inlineStr">
        <is>
          <t>On hand</t>
        </is>
      </c>
      <c r="E5" s="11" t="inlineStr">
        <is>
          <t>Stock value</t>
        </is>
      </c>
      <c r="F5" s="11" t="inlineStr">
        <is>
          <t>Consumed (90 days)</t>
        </is>
      </c>
      <c r="G5" s="11" t="inlineStr">
        <is>
          <t>Days of cover</t>
        </is>
      </c>
      <c r="H5" s="11" t="inlineStr">
        <is>
          <t>Expiring ≤ 60 days</t>
        </is>
      </c>
      <c r="I5" s="11" t="inlineStr">
        <is>
          <t>Expired qty</t>
        </is>
      </c>
      <c r="J5" s="11" t="inlineStr">
        <is>
          <t>Cover status</t>
        </is>
      </c>
    </row>
    <row r="6">
      <c r="A6" s="22" t="inlineStr">
        <is>
          <t>MED-0031</t>
        </is>
      </c>
      <c r="B6" s="22" t="inlineStr">
        <is>
          <t>Deferasirox 500 mg Tablet</t>
        </is>
      </c>
      <c r="C6" s="22" t="inlineStr">
        <is>
          <t>Medicines</t>
        </is>
      </c>
      <c r="D6" s="23" t="n">
        <v>2040</v>
      </c>
      <c r="E6" s="23" t="n">
        <v>2958000</v>
      </c>
      <c r="F6" s="23" t="n">
        <v>1920</v>
      </c>
      <c r="G6" s="23" t="n">
        <v>97</v>
      </c>
      <c r="H6" s="23" t="n">
        <v>0</v>
      </c>
      <c r="I6" s="23" t="n">
        <v>240</v>
      </c>
      <c r="J6" s="22" t="inlineStr">
        <is>
          <t>Adequate</t>
        </is>
      </c>
    </row>
    <row r="7">
      <c r="A7" s="22" t="inlineStr">
        <is>
          <t>NUT-0001</t>
        </is>
      </c>
      <c r="B7" s="22" t="inlineStr">
        <is>
          <t>RUTF Plumpy'Nut 92 g Sachet</t>
        </is>
      </c>
      <c r="C7" s="22" t="inlineStr">
        <is>
          <t>Nutrition</t>
        </is>
      </c>
      <c r="D7" s="23" t="n">
        <v>11250</v>
      </c>
      <c r="E7" s="23" t="n">
        <v>2452500</v>
      </c>
      <c r="F7" s="23" t="n">
        <v>14550</v>
      </c>
      <c r="G7" s="23" t="n">
        <v>70</v>
      </c>
      <c r="H7" s="23" t="n">
        <v>0</v>
      </c>
      <c r="I7" s="23" t="n">
        <v>0</v>
      </c>
      <c r="J7" s="22" t="inlineStr">
        <is>
          <t>Adequate</t>
        </is>
      </c>
    </row>
    <row r="8">
      <c r="A8" s="22" t="inlineStr">
        <is>
          <t>CON-0003</t>
        </is>
      </c>
      <c r="B8" s="22" t="inlineStr">
        <is>
          <t>Disposable Syringe 5 ml with Needle</t>
        </is>
      </c>
      <c r="C8" s="22" t="inlineStr">
        <is>
          <t>Medical Consumables</t>
        </is>
      </c>
      <c r="D8" s="23" t="n">
        <v>109800</v>
      </c>
      <c r="E8" s="23" t="n">
        <v>2360700</v>
      </c>
      <c r="F8" s="23" t="n">
        <v>71200</v>
      </c>
      <c r="G8" s="23" t="n">
        <v>140</v>
      </c>
      <c r="H8" s="23" t="n">
        <v>0</v>
      </c>
      <c r="I8" s="23" t="n">
        <v>0</v>
      </c>
      <c r="J8" s="22" t="inlineStr">
        <is>
          <t>Adequate</t>
        </is>
      </c>
    </row>
    <row r="9">
      <c r="A9" s="22" t="inlineStr">
        <is>
          <t>MED-0007</t>
        </is>
      </c>
      <c r="B9" s="22" t="inlineStr">
        <is>
          <t>ORS Sachet (Low Osmolarity)</t>
        </is>
      </c>
      <c r="C9" s="22" t="inlineStr">
        <is>
          <t>Medicines</t>
        </is>
      </c>
      <c r="D9" s="23" t="n">
        <v>76700</v>
      </c>
      <c r="E9" s="23" t="n">
        <v>1725750</v>
      </c>
      <c r="F9" s="23" t="n">
        <v>72000</v>
      </c>
      <c r="G9" s="23" t="n">
        <v>97</v>
      </c>
      <c r="H9" s="23" t="n">
        <v>4492</v>
      </c>
      <c r="I9" s="23" t="n">
        <v>200</v>
      </c>
      <c r="J9" s="22" t="inlineStr">
        <is>
          <t>Adequate</t>
        </is>
      </c>
    </row>
    <row r="10">
      <c r="A10" s="22" t="inlineStr">
        <is>
          <t>CON-0015</t>
        </is>
      </c>
      <c r="B10" s="22" t="inlineStr">
        <is>
          <t>Disposable Delivery Kit</t>
        </is>
      </c>
      <c r="C10" s="22" t="inlineStr">
        <is>
          <t>Medical Consumables</t>
        </is>
      </c>
      <c r="D10" s="23" t="n">
        <v>2202</v>
      </c>
      <c r="E10" s="23" t="n">
        <v>1409280</v>
      </c>
      <c r="F10" s="23" t="n">
        <v>2053</v>
      </c>
      <c r="G10" s="23" t="n">
        <v>98</v>
      </c>
      <c r="H10" s="23" t="n">
        <v>0</v>
      </c>
      <c r="I10" s="23" t="n">
        <v>0</v>
      </c>
      <c r="J10" s="22" t="inlineStr">
        <is>
          <t>Adequate</t>
        </is>
      </c>
    </row>
    <row r="11">
      <c r="A11" s="22" t="inlineStr">
        <is>
          <t>NUT-0005</t>
        </is>
      </c>
      <c r="B11" s="22" t="inlineStr">
        <is>
          <t>Multiple Micronutrient Powder</t>
        </is>
      </c>
      <c r="C11" s="22" t="inlineStr">
        <is>
          <t>Nutrition</t>
        </is>
      </c>
      <c r="D11" s="23" t="n">
        <v>23580</v>
      </c>
      <c r="E11" s="23" t="n">
        <v>1367640</v>
      </c>
      <c r="F11" s="23" t="n">
        <v>22020</v>
      </c>
      <c r="G11" s="23" t="n">
        <v>97</v>
      </c>
      <c r="H11" s="23" t="n">
        <v>0</v>
      </c>
      <c r="I11" s="23" t="n">
        <v>0</v>
      </c>
      <c r="J11" s="22" t="inlineStr">
        <is>
          <t>Adequate</t>
        </is>
      </c>
    </row>
    <row r="12">
      <c r="A12" s="22" t="inlineStr">
        <is>
          <t>NUT-0002</t>
        </is>
      </c>
      <c r="B12" s="22" t="inlineStr">
        <is>
          <t>F-75 Therapeutic Milk 400 g</t>
        </is>
      </c>
      <c r="C12" s="22" t="inlineStr">
        <is>
          <t>Nutrition</t>
        </is>
      </c>
      <c r="D12" s="23" t="n">
        <v>1896</v>
      </c>
      <c r="E12" s="23" t="n">
        <v>1308240</v>
      </c>
      <c r="F12" s="23" t="n">
        <v>1896</v>
      </c>
      <c r="G12" s="23" t="n">
        <v>91</v>
      </c>
      <c r="H12" s="23" t="n">
        <v>0</v>
      </c>
      <c r="I12" s="23" t="n">
        <v>0</v>
      </c>
      <c r="J12" s="22" t="inlineStr">
        <is>
          <t>Adequate</t>
        </is>
      </c>
    </row>
    <row r="13">
      <c r="A13" s="22" t="inlineStr">
        <is>
          <t>CON-0004</t>
        </is>
      </c>
      <c r="B13" s="22" t="inlineStr">
        <is>
          <t>Disposable Syringe 10 ml with Needle</t>
        </is>
      </c>
      <c r="C13" s="22" t="inlineStr">
        <is>
          <t>Medical Consumables</t>
        </is>
      </c>
      <c r="D13" s="23" t="n">
        <v>40400</v>
      </c>
      <c r="E13" s="23" t="n">
        <v>1090800</v>
      </c>
      <c r="F13" s="23" t="n">
        <v>34100</v>
      </c>
      <c r="G13" s="23" t="n">
        <v>108</v>
      </c>
      <c r="H13" s="23" t="n">
        <v>0</v>
      </c>
      <c r="I13" s="23" t="n">
        <v>0</v>
      </c>
      <c r="J13" s="22" t="inlineStr">
        <is>
          <t>Adequate</t>
        </is>
      </c>
    </row>
    <row r="14">
      <c r="A14" s="22" t="inlineStr">
        <is>
          <t>CON-0001</t>
        </is>
      </c>
      <c r="B14" s="22" t="inlineStr">
        <is>
          <t>Examination Gloves, Latex (Pair)</t>
        </is>
      </c>
      <c r="C14" s="22" t="inlineStr">
        <is>
          <t>Medical Consumables</t>
        </is>
      </c>
      <c r="D14" s="23" t="n">
        <v>66600</v>
      </c>
      <c r="E14" s="23" t="n">
        <v>965700</v>
      </c>
      <c r="F14" s="23" t="n">
        <v>94900</v>
      </c>
      <c r="G14" s="23" t="n">
        <v>64</v>
      </c>
      <c r="H14" s="23" t="n">
        <v>0</v>
      </c>
      <c r="I14" s="23" t="n">
        <v>0</v>
      </c>
      <c r="J14" s="22" t="inlineStr">
        <is>
          <t>Adequate</t>
        </is>
      </c>
    </row>
    <row r="15">
      <c r="A15" s="22" t="inlineStr">
        <is>
          <t>NUT-0004</t>
        </is>
      </c>
      <c r="B15" s="22" t="inlineStr">
        <is>
          <t>Ready-to-Use Supplementary Food (RUSF)</t>
        </is>
      </c>
      <c r="C15" s="22" t="inlineStr">
        <is>
          <t>Nutrition</t>
        </is>
      </c>
      <c r="D15" s="23" t="n">
        <v>6150</v>
      </c>
      <c r="E15" s="23" t="n">
        <v>891750</v>
      </c>
      <c r="F15" s="23" t="n">
        <v>7350</v>
      </c>
      <c r="G15" s="23" t="n">
        <v>76</v>
      </c>
      <c r="H15" s="23" t="n">
        <v>24015</v>
      </c>
      <c r="I15" s="23" t="n">
        <v>150</v>
      </c>
      <c r="J15" s="22" t="inlineStr">
        <is>
          <t>Adequate</t>
        </is>
      </c>
    </row>
    <row r="16">
      <c r="A16" s="22" t="inlineStr">
        <is>
          <t>MED-0004</t>
        </is>
      </c>
      <c r="B16" s="22" t="inlineStr">
        <is>
          <t>Ceftriaxone 1 g Injection</t>
        </is>
      </c>
      <c r="C16" s="22" t="inlineStr">
        <is>
          <t>Medicines</t>
        </is>
      </c>
      <c r="D16" s="23" t="n">
        <v>9268</v>
      </c>
      <c r="E16" s="23" t="n">
        <v>889728</v>
      </c>
      <c r="F16" s="23" t="n">
        <v>6860</v>
      </c>
      <c r="G16" s="23" t="n">
        <v>123</v>
      </c>
      <c r="H16" s="23" t="n">
        <v>1841.55</v>
      </c>
      <c r="I16" s="23" t="n">
        <v>19</v>
      </c>
      <c r="J16" s="22" t="inlineStr">
        <is>
          <t>Adequate</t>
        </is>
      </c>
    </row>
    <row r="17">
      <c r="A17" s="22" t="inlineStr">
        <is>
          <t>MED-0030</t>
        </is>
      </c>
      <c r="B17" s="22" t="inlineStr">
        <is>
          <t>Insulin Regular 100 IU/ml</t>
        </is>
      </c>
      <c r="C17" s="22" t="inlineStr">
        <is>
          <t>Medicines</t>
        </is>
      </c>
      <c r="D17" s="23" t="n">
        <v>1621</v>
      </c>
      <c r="E17" s="23" t="n">
        <v>875340</v>
      </c>
      <c r="F17" s="23" t="n">
        <v>1337</v>
      </c>
      <c r="G17" s="23" t="n">
        <v>110</v>
      </c>
      <c r="H17" s="23" t="n">
        <v>29513.64</v>
      </c>
      <c r="I17" s="23" t="n">
        <v>64</v>
      </c>
      <c r="J17" s="22" t="inlineStr">
        <is>
          <t>Adequate</t>
        </is>
      </c>
    </row>
    <row r="18">
      <c r="A18" s="22" t="inlineStr">
        <is>
          <t>MED-0009</t>
        </is>
      </c>
      <c r="B18" s="22" t="inlineStr">
        <is>
          <t>Normal Saline 0.9% 500 ml</t>
        </is>
      </c>
      <c r="C18" s="22" t="inlineStr">
        <is>
          <t>Medicines</t>
        </is>
      </c>
      <c r="D18" s="23" t="n">
        <v>7140</v>
      </c>
      <c r="E18" s="23" t="n">
        <v>842520</v>
      </c>
      <c r="F18" s="23" t="n">
        <v>5160</v>
      </c>
      <c r="G18" s="23" t="n">
        <v>126</v>
      </c>
      <c r="H18" s="23" t="n">
        <v>0</v>
      </c>
      <c r="I18" s="23" t="n">
        <v>0</v>
      </c>
      <c r="J18" s="22" t="inlineStr">
        <is>
          <t>Adequate</t>
        </is>
      </c>
    </row>
    <row r="19">
      <c r="A19" s="22" t="inlineStr">
        <is>
          <t>MED-0010</t>
        </is>
      </c>
      <c r="B19" s="22" t="inlineStr">
        <is>
          <t>Ringer's Lactate 500 ml</t>
        </is>
      </c>
      <c r="C19" s="22" t="inlineStr">
        <is>
          <t>Medicines</t>
        </is>
      </c>
      <c r="D19" s="23" t="n">
        <v>6180</v>
      </c>
      <c r="E19" s="23" t="n">
        <v>815760</v>
      </c>
      <c r="F19" s="23" t="n">
        <v>4940</v>
      </c>
      <c r="G19" s="23" t="n">
        <v>114</v>
      </c>
      <c r="H19" s="23" t="n">
        <v>0</v>
      </c>
      <c r="I19" s="23" t="n">
        <v>0</v>
      </c>
      <c r="J19" s="22" t="inlineStr">
        <is>
          <t>Adequate</t>
        </is>
      </c>
    </row>
    <row r="20">
      <c r="A20" s="22" t="inlineStr">
        <is>
          <t>MED-0034</t>
        </is>
      </c>
      <c r="B20" s="22" t="inlineStr">
        <is>
          <t>Tenofovir + Emtricitabine 300/200 mg</t>
        </is>
      </c>
      <c r="C20" s="22" t="inlineStr">
        <is>
          <t>Medicines</t>
        </is>
      </c>
      <c r="D20" s="23" t="n">
        <v>780</v>
      </c>
      <c r="E20" s="23" t="n">
        <v>694200</v>
      </c>
      <c r="F20" s="23" t="n">
        <v>900</v>
      </c>
      <c r="G20" s="23" t="n">
        <v>79</v>
      </c>
      <c r="H20" s="23" t="n">
        <v>0</v>
      </c>
      <c r="I20" s="23" t="n">
        <v>0</v>
      </c>
      <c r="J20" s="22" t="inlineStr">
        <is>
          <t>Adequate</t>
        </is>
      </c>
    </row>
    <row r="21">
      <c r="A21" s="22" t="inlineStr">
        <is>
          <t>LAB-0002</t>
        </is>
      </c>
      <c r="B21" s="22" t="inlineStr">
        <is>
          <t>Rapid Diagnostic Test - Malaria</t>
        </is>
      </c>
      <c r="C21" s="22" t="inlineStr">
        <is>
          <t>Laboratory</t>
        </is>
      </c>
      <c r="D21" s="23" t="n">
        <v>4575</v>
      </c>
      <c r="E21" s="23" t="n">
        <v>677100</v>
      </c>
      <c r="F21" s="23" t="n">
        <v>4800</v>
      </c>
      <c r="G21" s="23" t="n">
        <v>87</v>
      </c>
      <c r="H21" s="23" t="n">
        <v>85579.5</v>
      </c>
      <c r="I21" s="23" t="n">
        <v>550</v>
      </c>
      <c r="J21" s="22" t="inlineStr">
        <is>
          <t>Adequate</t>
        </is>
      </c>
    </row>
    <row r="22">
      <c r="A22" s="22" t="inlineStr">
        <is>
          <t>CON-0008</t>
        </is>
      </c>
      <c r="B22" s="22" t="inlineStr">
        <is>
          <t>Gauze Piece Sterile 10x10 cm</t>
        </is>
      </c>
      <c r="C22" s="22" t="inlineStr">
        <is>
          <t>Medical Consumables</t>
        </is>
      </c>
      <c r="D22" s="23" t="n">
        <v>67100</v>
      </c>
      <c r="E22" s="23" t="n">
        <v>657580</v>
      </c>
      <c r="F22" s="23" t="n">
        <v>65800</v>
      </c>
      <c r="G22" s="23" t="n">
        <v>93</v>
      </c>
      <c r="H22" s="23" t="n">
        <v>0</v>
      </c>
      <c r="I22" s="23" t="n">
        <v>0</v>
      </c>
      <c r="J22" s="22" t="inlineStr">
        <is>
          <t>Adequate</t>
        </is>
      </c>
    </row>
    <row r="23">
      <c r="A23" s="22" t="inlineStr">
        <is>
          <t>NUT-0006</t>
        </is>
      </c>
      <c r="B23" s="22" t="inlineStr">
        <is>
          <t>Therapeutic Zinc + ORS Combo Pack</t>
        </is>
      </c>
      <c r="C23" s="22" t="inlineStr">
        <is>
          <t>Nutrition</t>
        </is>
      </c>
      <c r="D23" s="23" t="n">
        <v>6740</v>
      </c>
      <c r="E23" s="23" t="n">
        <v>647040</v>
      </c>
      <c r="F23" s="23" t="n">
        <v>5440</v>
      </c>
      <c r="G23" s="23" t="n">
        <v>113</v>
      </c>
      <c r="H23" s="23" t="n">
        <v>2060.8</v>
      </c>
      <c r="I23" s="23" t="n">
        <v>20</v>
      </c>
      <c r="J23" s="22" t="inlineStr">
        <is>
          <t>Adequate</t>
        </is>
      </c>
    </row>
    <row r="24">
      <c r="A24" s="22" t="inlineStr">
        <is>
          <t>MED-0012</t>
        </is>
      </c>
      <c r="B24" s="22" t="inlineStr">
        <is>
          <t>Tetanus Toxoid Vaccine 0.5 ml</t>
        </is>
      </c>
      <c r="C24" s="22" t="inlineStr">
        <is>
          <t>Medicines</t>
        </is>
      </c>
      <c r="D24" s="23" t="n">
        <v>6050</v>
      </c>
      <c r="E24" s="23" t="n">
        <v>580800</v>
      </c>
      <c r="F24" s="23" t="n">
        <v>4840</v>
      </c>
      <c r="G24" s="23" t="n">
        <v>114</v>
      </c>
      <c r="H24" s="23" t="n">
        <v>13184.3</v>
      </c>
      <c r="I24" s="23" t="n">
        <v>130</v>
      </c>
      <c r="J24" s="22" t="inlineStr">
        <is>
          <t>Adequate</t>
        </is>
      </c>
    </row>
    <row r="25">
      <c r="A25" s="22" t="inlineStr">
        <is>
          <t>LAB-0004</t>
        </is>
      </c>
      <c r="B25" s="22" t="inlineStr">
        <is>
          <t>Rapid Diagnostic Test - Hepatitis C</t>
        </is>
      </c>
      <c r="C25" s="22" t="inlineStr">
        <is>
          <t>Laboratory</t>
        </is>
      </c>
      <c r="D25" s="23" t="n">
        <v>2875</v>
      </c>
      <c r="E25" s="23" t="n">
        <v>540500</v>
      </c>
      <c r="F25" s="23" t="n">
        <v>2375</v>
      </c>
      <c r="G25" s="23" t="n">
        <v>110</v>
      </c>
      <c r="H25" s="23" t="n">
        <v>38342.5</v>
      </c>
      <c r="I25" s="23" t="n">
        <v>200</v>
      </c>
      <c r="J25" s="22" t="inlineStr">
        <is>
          <t>Adequate</t>
        </is>
      </c>
    </row>
    <row r="26">
      <c r="A26" s="22" t="inlineStr">
        <is>
          <t>MED-0025</t>
        </is>
      </c>
      <c r="B26" s="22" t="inlineStr">
        <is>
          <t>Salbutamol Inhaler 100 mcg</t>
        </is>
      </c>
      <c r="C26" s="22" t="inlineStr">
        <is>
          <t>Medicines</t>
        </is>
      </c>
      <c r="D26" s="23" t="n">
        <v>1879</v>
      </c>
      <c r="E26" s="23" t="n">
        <v>503572</v>
      </c>
      <c r="F26" s="23" t="n">
        <v>1820</v>
      </c>
      <c r="G26" s="23" t="n">
        <v>94</v>
      </c>
      <c r="H26" s="23" t="n">
        <v>4852.48</v>
      </c>
      <c r="I26" s="23" t="n">
        <v>16</v>
      </c>
      <c r="J26" s="22" t="inlineStr">
        <is>
          <t>Adequate</t>
        </is>
      </c>
    </row>
    <row r="27">
      <c r="A27" s="22" t="inlineStr">
        <is>
          <t>CON-0002</t>
        </is>
      </c>
      <c r="B27" s="22" t="inlineStr">
        <is>
          <t>Surgical Gloves, Sterile 7.5 (Pair)</t>
        </is>
      </c>
      <c r="C27" s="22" t="inlineStr">
        <is>
          <t>Medical Consumables</t>
        </is>
      </c>
      <c r="D27" s="23" t="n">
        <v>7950</v>
      </c>
      <c r="E27" s="23" t="n">
        <v>492900</v>
      </c>
      <c r="F27" s="23" t="n">
        <v>8550</v>
      </c>
      <c r="G27" s="23" t="n">
        <v>85</v>
      </c>
      <c r="H27" s="23" t="n">
        <v>0</v>
      </c>
      <c r="I27" s="23" t="n">
        <v>0</v>
      </c>
      <c r="J27" s="22" t="inlineStr">
        <is>
          <t>Adequate</t>
        </is>
      </c>
    </row>
    <row r="28">
      <c r="A28" s="22" t="inlineStr">
        <is>
          <t>LAB-0001</t>
        </is>
      </c>
      <c r="B28" s="22" t="inlineStr">
        <is>
          <t>Hemoglobin Reagent (Cyanmethemoglobin)</t>
        </is>
      </c>
      <c r="C28" s="22" t="inlineStr">
        <is>
          <t>Laboratory</t>
        </is>
      </c>
      <c r="D28" s="23" t="n">
        <v>101</v>
      </c>
      <c r="E28" s="23" t="n">
        <v>489850</v>
      </c>
      <c r="F28" s="23" t="n">
        <v>88</v>
      </c>
      <c r="G28" s="23" t="n">
        <v>104</v>
      </c>
      <c r="H28" s="23" t="n">
        <v>50939.08</v>
      </c>
      <c r="I28" s="23" t="n">
        <v>10</v>
      </c>
      <c r="J28" s="22" t="inlineStr">
        <is>
          <t>Adequate</t>
        </is>
      </c>
    </row>
    <row r="29">
      <c r="A29" s="22" t="inlineStr">
        <is>
          <t>NUT-0003</t>
        </is>
      </c>
      <c r="B29" s="22" t="inlineStr">
        <is>
          <t>F-100 Therapeutic Milk 400 g</t>
        </is>
      </c>
      <c r="C29" s="22" t="inlineStr">
        <is>
          <t>Nutrition</t>
        </is>
      </c>
      <c r="D29" s="23" t="n">
        <v>624</v>
      </c>
      <c r="E29" s="23" t="n">
        <v>474240</v>
      </c>
      <c r="F29" s="23" t="n">
        <v>2184</v>
      </c>
      <c r="G29" s="23" t="n">
        <v>26</v>
      </c>
      <c r="H29" s="23" t="n">
        <v>0</v>
      </c>
      <c r="I29" s="23" t="n">
        <v>0</v>
      </c>
      <c r="J29" s="22" t="inlineStr">
        <is>
          <t>Low</t>
        </is>
      </c>
    </row>
    <row r="30">
      <c r="A30" s="22" t="inlineStr">
        <is>
          <t>LAB-0003</t>
        </is>
      </c>
      <c r="B30" s="22" t="inlineStr">
        <is>
          <t>Rapid Diagnostic Test - Hepatitis B</t>
        </is>
      </c>
      <c r="C30" s="22" t="inlineStr">
        <is>
          <t>Laboratory</t>
        </is>
      </c>
      <c r="D30" s="23" t="n">
        <v>2675</v>
      </c>
      <c r="E30" s="23" t="n">
        <v>460100</v>
      </c>
      <c r="F30" s="23" t="n">
        <v>2775</v>
      </c>
      <c r="G30" s="23" t="n">
        <v>88</v>
      </c>
      <c r="H30" s="23" t="n">
        <v>90201.25</v>
      </c>
      <c r="I30" s="23" t="n">
        <v>525</v>
      </c>
      <c r="J30" s="22" t="inlineStr">
        <is>
          <t>Adequate</t>
        </is>
      </c>
    </row>
    <row r="31">
      <c r="A31" s="22" t="inlineStr">
        <is>
          <t>MED-0011</t>
        </is>
      </c>
      <c r="B31" s="22" t="inlineStr">
        <is>
          <t>Dextrose 5% 500 ml</t>
        </is>
      </c>
      <c r="C31" s="22" t="inlineStr">
        <is>
          <t>Medicines</t>
        </is>
      </c>
      <c r="D31" s="23" t="n">
        <v>3100</v>
      </c>
      <c r="E31" s="23" t="n">
        <v>384400</v>
      </c>
      <c r="F31" s="23" t="n">
        <v>3320</v>
      </c>
      <c r="G31" s="23" t="n">
        <v>85</v>
      </c>
      <c r="H31" s="23" t="n">
        <v>0</v>
      </c>
      <c r="I31" s="23" t="n">
        <v>0</v>
      </c>
      <c r="J31" s="22" t="inlineStr">
        <is>
          <t>Adequate</t>
        </is>
      </c>
    </row>
    <row r="32">
      <c r="A32" s="22" t="inlineStr">
        <is>
          <t>CON-0011</t>
        </is>
      </c>
      <c r="B32" s="22" t="inlineStr">
        <is>
          <t>Nitrile Examination Gloves (Box 100)</t>
        </is>
      </c>
      <c r="C32" s="22" t="inlineStr">
        <is>
          <t>Medical Consumables</t>
        </is>
      </c>
      <c r="D32" s="23" t="n">
        <v>299</v>
      </c>
      <c r="E32" s="23" t="n">
        <v>382720</v>
      </c>
      <c r="F32" s="23" t="n">
        <v>350</v>
      </c>
      <c r="G32" s="23" t="n">
        <v>78</v>
      </c>
      <c r="H32" s="23" t="n">
        <v>0</v>
      </c>
      <c r="I32" s="23" t="n">
        <v>0</v>
      </c>
      <c r="J32" s="22" t="inlineStr">
        <is>
          <t>Adequate</t>
        </is>
      </c>
    </row>
    <row r="33">
      <c r="A33" s="22" t="inlineStr">
        <is>
          <t>GEN-0005</t>
        </is>
      </c>
      <c r="B33" s="22" t="inlineStr">
        <is>
          <t>Sharps Disposal Container 5 L</t>
        </is>
      </c>
      <c r="C33" s="22" t="inlineStr">
        <is>
          <t>General Items</t>
        </is>
      </c>
      <c r="D33" s="23" t="n">
        <v>908</v>
      </c>
      <c r="E33" s="23" t="n">
        <v>381360</v>
      </c>
      <c r="F33" s="23" t="n">
        <v>590</v>
      </c>
      <c r="G33" s="23" t="n">
        <v>140</v>
      </c>
      <c r="H33" s="23" t="n">
        <v>0</v>
      </c>
      <c r="I33" s="23" t="n">
        <v>0</v>
      </c>
      <c r="J33" s="22" t="inlineStr">
        <is>
          <t>Adequate</t>
        </is>
      </c>
    </row>
    <row r="34">
      <c r="A34" s="22" t="inlineStr">
        <is>
          <t>CON-0019</t>
        </is>
      </c>
      <c r="B34" s="22" t="inlineStr">
        <is>
          <t>Hand Sanitiser 500 ml</t>
        </is>
      </c>
      <c r="C34" s="22" t="inlineStr">
        <is>
          <t>Medical Consumables</t>
        </is>
      </c>
      <c r="D34" s="23" t="n">
        <v>948</v>
      </c>
      <c r="E34" s="23" t="n">
        <v>364980</v>
      </c>
      <c r="F34" s="23" t="n">
        <v>1452</v>
      </c>
      <c r="G34" s="23" t="n">
        <v>59</v>
      </c>
      <c r="H34" s="23" t="n">
        <v>103807.8</v>
      </c>
      <c r="I34" s="23" t="n">
        <v>228</v>
      </c>
      <c r="J34" s="22" t="inlineStr">
        <is>
          <t>Adequate</t>
        </is>
      </c>
    </row>
    <row r="35">
      <c r="A35" s="22" t="inlineStr">
        <is>
          <t>CON-0007</t>
        </is>
      </c>
      <c r="B35" s="22" t="inlineStr">
        <is>
          <t>Cotton Wool Roll 500 g</t>
        </is>
      </c>
      <c r="C35" s="22" t="inlineStr">
        <is>
          <t>Medical Consumables</t>
        </is>
      </c>
      <c r="D35" s="23" t="n">
        <v>1460</v>
      </c>
      <c r="E35" s="23" t="n">
        <v>357700</v>
      </c>
      <c r="F35" s="23" t="n">
        <v>1450</v>
      </c>
      <c r="G35" s="23" t="n">
        <v>92</v>
      </c>
      <c r="H35" s="23" t="n">
        <v>0</v>
      </c>
      <c r="I35" s="23" t="n">
        <v>0</v>
      </c>
      <c r="J35" s="22" t="inlineStr">
        <is>
          <t>Adequate</t>
        </is>
      </c>
    </row>
    <row r="36">
      <c r="A36" s="22" t="inlineStr">
        <is>
          <t>NUT-0007</t>
        </is>
      </c>
      <c r="B36" s="22" t="inlineStr">
        <is>
          <t>Infant Formula, Therapeutic (Lactogen-free)</t>
        </is>
      </c>
      <c r="C36" s="22" t="inlineStr">
        <is>
          <t>Nutrition</t>
        </is>
      </c>
      <c r="D36" s="23" t="n">
        <v>288</v>
      </c>
      <c r="E36" s="23" t="n">
        <v>357120</v>
      </c>
      <c r="F36" s="23" t="n">
        <v>504</v>
      </c>
      <c r="G36" s="23" t="n">
        <v>52</v>
      </c>
      <c r="H36" s="23" t="n">
        <v>78582.36</v>
      </c>
      <c r="I36" s="23" t="n">
        <v>72</v>
      </c>
      <c r="J36" s="22" t="inlineStr">
        <is>
          <t>Adequate</t>
        </is>
      </c>
    </row>
    <row r="37">
      <c r="A37" s="22" t="inlineStr">
        <is>
          <t>MED-0019</t>
        </is>
      </c>
      <c r="B37" s="22" t="inlineStr">
        <is>
          <t>Rifampicin + Isoniazid 150/75 mg</t>
        </is>
      </c>
      <c r="C37" s="22" t="inlineStr">
        <is>
          <t>Medicines</t>
        </is>
      </c>
      <c r="D37" s="23" t="n">
        <v>18144</v>
      </c>
      <c r="E37" s="23" t="n">
        <v>337478.4</v>
      </c>
      <c r="F37" s="23" t="n">
        <v>18816</v>
      </c>
      <c r="G37" s="23" t="n">
        <v>88</v>
      </c>
      <c r="H37" s="23" t="n">
        <v>44735.04</v>
      </c>
      <c r="I37" s="23" t="n">
        <v>2016</v>
      </c>
      <c r="J37" s="22" t="inlineStr">
        <is>
          <t>Adequate</t>
        </is>
      </c>
    </row>
    <row r="38">
      <c r="A38" s="22" t="inlineStr">
        <is>
          <t>CON-0010</t>
        </is>
      </c>
      <c r="B38" s="22" t="inlineStr">
        <is>
          <t>Surgical Face Mask, 3-ply</t>
        </is>
      </c>
      <c r="C38" s="22" t="inlineStr">
        <is>
          <t>Medical Consumables</t>
        </is>
      </c>
      <c r="D38" s="23" t="n">
        <v>46800</v>
      </c>
      <c r="E38" s="23" t="n">
        <v>336960</v>
      </c>
      <c r="F38" s="23" t="n">
        <v>52550</v>
      </c>
      <c r="G38" s="23" t="n">
        <v>81</v>
      </c>
      <c r="H38" s="23" t="n">
        <v>0</v>
      </c>
      <c r="I38" s="23" t="n">
        <v>0</v>
      </c>
      <c r="J38" s="22" t="inlineStr">
        <is>
          <t>Adequate</t>
        </is>
      </c>
    </row>
    <row r="39">
      <c r="A39" s="22" t="inlineStr">
        <is>
          <t>GEN-0006</t>
        </is>
      </c>
      <c r="B39" s="22" t="inlineStr">
        <is>
          <t>Biohazard Waste Bag (Pack 50)</t>
        </is>
      </c>
      <c r="C39" s="22" t="inlineStr">
        <is>
          <t>General Items</t>
        </is>
      </c>
      <c r="D39" s="23" t="n">
        <v>582</v>
      </c>
      <c r="E39" s="23" t="n">
        <v>325920</v>
      </c>
      <c r="F39" s="23" t="n">
        <v>323</v>
      </c>
      <c r="G39" s="23" t="n">
        <v>164</v>
      </c>
      <c r="H39" s="23" t="n">
        <v>0</v>
      </c>
      <c r="I39" s="23" t="n">
        <v>0</v>
      </c>
      <c r="J39" s="22" t="inlineStr">
        <is>
          <t>Adequate</t>
        </is>
      </c>
    </row>
    <row r="40">
      <c r="A40" s="22" t="inlineStr">
        <is>
          <t>CON-0013</t>
        </is>
      </c>
      <c r="B40" s="22" t="inlineStr">
        <is>
          <t>Povidone Iodine 10% 100 ml</t>
        </is>
      </c>
      <c r="C40" s="22" t="inlineStr">
        <is>
          <t>Medical Consumables</t>
        </is>
      </c>
      <c r="D40" s="23" t="n">
        <v>1872</v>
      </c>
      <c r="E40" s="23" t="n">
        <v>314496</v>
      </c>
      <c r="F40" s="23" t="n">
        <v>1968</v>
      </c>
      <c r="G40" s="23" t="n">
        <v>87</v>
      </c>
      <c r="H40" s="23" t="n">
        <v>0</v>
      </c>
      <c r="I40" s="23" t="n">
        <v>0</v>
      </c>
      <c r="J40" s="22" t="inlineStr">
        <is>
          <t>Adequate</t>
        </is>
      </c>
    </row>
    <row r="41">
      <c r="A41" s="22" t="inlineStr">
        <is>
          <t>CON-0009</t>
        </is>
      </c>
      <c r="B41" s="22" t="inlineStr">
        <is>
          <t>Adhesive Bandage 10 cm x 4 m</t>
        </is>
      </c>
      <c r="C41" s="22" t="inlineStr">
        <is>
          <t>Medical Consumables</t>
        </is>
      </c>
      <c r="D41" s="23" t="n">
        <v>3048</v>
      </c>
      <c r="E41" s="23" t="n">
        <v>292608</v>
      </c>
      <c r="F41" s="23" t="n">
        <v>3300</v>
      </c>
      <c r="G41" s="23" t="n">
        <v>84</v>
      </c>
      <c r="H41" s="23" t="n">
        <v>0</v>
      </c>
      <c r="I41" s="23" t="n">
        <v>0</v>
      </c>
      <c r="J41" s="22" t="inlineStr">
        <is>
          <t>Adequate</t>
        </is>
      </c>
    </row>
    <row r="42">
      <c r="A42" s="22" t="inlineStr">
        <is>
          <t>CON-0020</t>
        </is>
      </c>
      <c r="B42" s="22" t="inlineStr">
        <is>
          <t>Sputum Collection Container</t>
        </is>
      </c>
      <c r="C42" s="22" t="inlineStr">
        <is>
          <t>Medical Consumables</t>
        </is>
      </c>
      <c r="D42" s="23" t="n">
        <v>11100</v>
      </c>
      <c r="E42" s="23" t="n">
        <v>288600</v>
      </c>
      <c r="F42" s="23" t="n">
        <v>11200</v>
      </c>
      <c r="G42" s="23" t="n">
        <v>90</v>
      </c>
      <c r="H42" s="23" t="n">
        <v>0</v>
      </c>
      <c r="I42" s="23" t="n">
        <v>0</v>
      </c>
      <c r="J42" s="22" t="inlineStr">
        <is>
          <t>Adequate</t>
        </is>
      </c>
    </row>
    <row r="43">
      <c r="A43" s="22" t="inlineStr">
        <is>
          <t>MED-0002</t>
        </is>
      </c>
      <c r="B43" s="22" t="inlineStr">
        <is>
          <t>Amoxicillin 250 mg Capsule</t>
        </is>
      </c>
      <c r="C43" s="22" t="inlineStr">
        <is>
          <t>Medicines</t>
        </is>
      </c>
      <c r="D43" s="23" t="n">
        <v>63000</v>
      </c>
      <c r="E43" s="23" t="n">
        <v>264600</v>
      </c>
      <c r="F43" s="23" t="n">
        <v>65000</v>
      </c>
      <c r="G43" s="23" t="n">
        <v>88</v>
      </c>
      <c r="H43" s="23" t="n">
        <v>75150</v>
      </c>
      <c r="I43" s="23" t="n">
        <v>15000</v>
      </c>
      <c r="J43" s="22" t="inlineStr">
        <is>
          <t>Adequate</t>
        </is>
      </c>
    </row>
    <row r="44">
      <c r="A44" s="22" t="inlineStr">
        <is>
          <t>LAB-0006</t>
        </is>
      </c>
      <c r="B44" s="22" t="inlineStr">
        <is>
          <t>Blood Collection Tube EDTA 4 ml</t>
        </is>
      </c>
      <c r="C44" s="22" t="inlineStr">
        <is>
          <t>Laboratory</t>
        </is>
      </c>
      <c r="D44" s="23" t="n">
        <v>8600</v>
      </c>
      <c r="E44" s="23" t="n">
        <v>236500</v>
      </c>
      <c r="F44" s="23" t="n">
        <v>10600</v>
      </c>
      <c r="G44" s="23" t="n">
        <v>74</v>
      </c>
      <c r="H44" s="23" t="n">
        <v>0</v>
      </c>
      <c r="I44" s="23" t="n">
        <v>0</v>
      </c>
      <c r="J44" s="22" t="inlineStr">
        <is>
          <t>Adequate</t>
        </is>
      </c>
    </row>
    <row r="45">
      <c r="A45" s="22" t="inlineStr">
        <is>
          <t>GEN-0007</t>
        </is>
      </c>
      <c r="B45" s="22" t="inlineStr">
        <is>
          <t>Printed IEC Material (Booklet)</t>
        </is>
      </c>
      <c r="C45" s="22" t="inlineStr">
        <is>
          <t>General Items</t>
        </is>
      </c>
      <c r="D45" s="23" t="n">
        <v>6200</v>
      </c>
      <c r="E45" s="23" t="n">
        <v>235600</v>
      </c>
      <c r="F45" s="23" t="n">
        <v>7900</v>
      </c>
      <c r="G45" s="23" t="n">
        <v>71</v>
      </c>
      <c r="H45" s="23" t="n">
        <v>0</v>
      </c>
      <c r="I45" s="23" t="n">
        <v>0</v>
      </c>
      <c r="J45" s="22" t="inlineStr">
        <is>
          <t>Adequate</t>
        </is>
      </c>
    </row>
    <row r="46">
      <c r="A46" s="22" t="inlineStr">
        <is>
          <t>CON-0006</t>
        </is>
      </c>
      <c r="B46" s="22" t="inlineStr">
        <is>
          <t>IV Giving Set</t>
        </is>
      </c>
      <c r="C46" s="22" t="inlineStr">
        <is>
          <t>Medical Consumables</t>
        </is>
      </c>
      <c r="D46" s="23" t="n">
        <v>2800</v>
      </c>
      <c r="E46" s="23" t="n">
        <v>235200</v>
      </c>
      <c r="F46" s="23" t="n">
        <v>4050</v>
      </c>
      <c r="G46" s="23" t="n">
        <v>63</v>
      </c>
      <c r="H46" s="23" t="n">
        <v>0</v>
      </c>
      <c r="I46" s="23" t="n">
        <v>0</v>
      </c>
      <c r="J46" s="22" t="inlineStr">
        <is>
          <t>Adequate</t>
        </is>
      </c>
    </row>
    <row r="47">
      <c r="A47" s="22" t="inlineStr">
        <is>
          <t>CON-0005</t>
        </is>
      </c>
      <c r="B47" s="22" t="inlineStr">
        <is>
          <t>IV Cannula 22G</t>
        </is>
      </c>
      <c r="C47" s="22" t="inlineStr">
        <is>
          <t>Medical Consumables</t>
        </is>
      </c>
      <c r="D47" s="23" t="n">
        <v>5050</v>
      </c>
      <c r="E47" s="23" t="n">
        <v>232300</v>
      </c>
      <c r="F47" s="23" t="n">
        <v>6650</v>
      </c>
      <c r="G47" s="23" t="n">
        <v>69</v>
      </c>
      <c r="H47" s="23" t="n">
        <v>0</v>
      </c>
      <c r="I47" s="23" t="n">
        <v>0</v>
      </c>
      <c r="J47" s="22" t="inlineStr">
        <is>
          <t>Adequate</t>
        </is>
      </c>
    </row>
    <row r="48">
      <c r="A48" s="22" t="inlineStr">
        <is>
          <t>GEN-0003</t>
        </is>
      </c>
      <c r="B48" s="22" t="inlineStr">
        <is>
          <t>A4 Paper Ream 80 gsm</t>
        </is>
      </c>
      <c r="C48" s="22" t="inlineStr">
        <is>
          <t>General Items</t>
        </is>
      </c>
      <c r="D48" s="23" t="n">
        <v>140</v>
      </c>
      <c r="E48" s="23" t="n">
        <v>231000</v>
      </c>
      <c r="F48" s="23" t="n">
        <v>80</v>
      </c>
      <c r="G48" s="23" t="n">
        <v>159</v>
      </c>
      <c r="H48" s="23" t="n">
        <v>0</v>
      </c>
      <c r="I48" s="23" t="n">
        <v>0</v>
      </c>
      <c r="J48" s="22" t="inlineStr">
        <is>
          <t>Adequate</t>
        </is>
      </c>
    </row>
    <row r="49">
      <c r="A49" s="22" t="inlineStr">
        <is>
          <t>CON-0017</t>
        </is>
      </c>
      <c r="B49" s="22" t="inlineStr">
        <is>
          <t>Suture Polyglactin 2-0</t>
        </is>
      </c>
      <c r="C49" s="22" t="inlineStr">
        <is>
          <t>Medical Consumables</t>
        </is>
      </c>
      <c r="D49" s="23" t="n">
        <v>588</v>
      </c>
      <c r="E49" s="23" t="n">
        <v>182280</v>
      </c>
      <c r="F49" s="23" t="n">
        <v>1116</v>
      </c>
      <c r="G49" s="23" t="n">
        <v>48</v>
      </c>
      <c r="H49" s="23" t="n">
        <v>0</v>
      </c>
      <c r="I49" s="23" t="n">
        <v>0</v>
      </c>
      <c r="J49" s="22" t="inlineStr">
        <is>
          <t>Adequate</t>
        </is>
      </c>
    </row>
    <row r="50">
      <c r="A50" s="22" t="inlineStr">
        <is>
          <t>LAB-0005</t>
        </is>
      </c>
      <c r="B50" s="22" t="inlineStr">
        <is>
          <t>Glucose Test Strips</t>
        </is>
      </c>
      <c r="C50" s="22" t="inlineStr">
        <is>
          <t>Laboratory</t>
        </is>
      </c>
      <c r="D50" s="23" t="n">
        <v>4100</v>
      </c>
      <c r="E50" s="23" t="n">
        <v>172200</v>
      </c>
      <c r="F50" s="23" t="n">
        <v>4050</v>
      </c>
      <c r="G50" s="23" t="n">
        <v>92</v>
      </c>
      <c r="H50" s="23" t="n">
        <v>14394.5</v>
      </c>
      <c r="I50" s="23" t="n">
        <v>300</v>
      </c>
      <c r="J50" s="22" t="inlineStr">
        <is>
          <t>Adequate</t>
        </is>
      </c>
    </row>
    <row r="51">
      <c r="A51" s="22" t="inlineStr">
        <is>
          <t>LAB-0008</t>
        </is>
      </c>
      <c r="B51" s="22" t="inlineStr">
        <is>
          <t>Ziehl-Neelsen Stain Kit</t>
        </is>
      </c>
      <c r="C51" s="22" t="inlineStr">
        <is>
          <t>Laboratory</t>
        </is>
      </c>
      <c r="D51" s="23" t="n">
        <v>42</v>
      </c>
      <c r="E51" s="23" t="n">
        <v>165900</v>
      </c>
      <c r="F51" s="23" t="n">
        <v>51</v>
      </c>
      <c r="G51" s="23" t="n">
        <v>75</v>
      </c>
      <c r="H51" s="23" t="n">
        <v>8289.450000000001</v>
      </c>
      <c r="I51" s="23" t="n">
        <v>2</v>
      </c>
      <c r="J51" s="22" t="inlineStr">
        <is>
          <t>Adequate</t>
        </is>
      </c>
    </row>
    <row r="52">
      <c r="A52" s="22" t="inlineStr">
        <is>
          <t>GEN-0001</t>
        </is>
      </c>
      <c r="B52" s="22" t="inlineStr">
        <is>
          <t>Nitrile Gloves, Utility (Pair)</t>
        </is>
      </c>
      <c r="C52" s="22" t="inlineStr">
        <is>
          <t>General Items</t>
        </is>
      </c>
      <c r="D52" s="23" t="n">
        <v>5150</v>
      </c>
      <c r="E52" s="23" t="n">
        <v>164800</v>
      </c>
      <c r="F52" s="23" t="n">
        <v>4900</v>
      </c>
      <c r="G52" s="23" t="n">
        <v>96</v>
      </c>
      <c r="H52" s="23" t="n">
        <v>0</v>
      </c>
      <c r="I52" s="23" t="n">
        <v>0</v>
      </c>
      <c r="J52" s="22" t="inlineStr">
        <is>
          <t>Adequate</t>
        </is>
      </c>
    </row>
    <row r="53">
      <c r="A53" s="22" t="inlineStr">
        <is>
          <t>CON-0014</t>
        </is>
      </c>
      <c r="B53" s="22" t="inlineStr">
        <is>
          <t>Urine Collection Bag 2000 ml</t>
        </is>
      </c>
      <c r="C53" s="22" t="inlineStr">
        <is>
          <t>Medical Consumables</t>
        </is>
      </c>
      <c r="D53" s="23" t="n">
        <v>2100</v>
      </c>
      <c r="E53" s="23" t="n">
        <v>163800</v>
      </c>
      <c r="F53" s="23" t="n">
        <v>2200</v>
      </c>
      <c r="G53" s="23" t="n">
        <v>87</v>
      </c>
      <c r="H53" s="23" t="n">
        <v>0</v>
      </c>
      <c r="I53" s="23" t="n">
        <v>0</v>
      </c>
      <c r="J53" s="22" t="inlineStr">
        <is>
          <t>Adequate</t>
        </is>
      </c>
    </row>
    <row r="54">
      <c r="A54" s="22" t="inlineStr">
        <is>
          <t>CON-0012</t>
        </is>
      </c>
      <c r="B54" s="22" t="inlineStr">
        <is>
          <t>Alcohol Swab</t>
        </is>
      </c>
      <c r="C54" s="22" t="inlineStr">
        <is>
          <t>Medical Consumables</t>
        </is>
      </c>
      <c r="D54" s="23" t="n">
        <v>63700</v>
      </c>
      <c r="E54" s="23" t="n">
        <v>152880</v>
      </c>
      <c r="F54" s="23" t="n">
        <v>53700</v>
      </c>
      <c r="G54" s="23" t="n">
        <v>108</v>
      </c>
      <c r="H54" s="23" t="n">
        <v>0</v>
      </c>
      <c r="I54" s="23" t="n">
        <v>0</v>
      </c>
      <c r="J54" s="22" t="inlineStr">
        <is>
          <t>Adequate</t>
        </is>
      </c>
    </row>
    <row r="55">
      <c r="A55" s="22" t="inlineStr">
        <is>
          <t>CON-0016</t>
        </is>
      </c>
      <c r="B55" s="22" t="inlineStr">
        <is>
          <t>Umbilical Cord Clamp</t>
        </is>
      </c>
      <c r="C55" s="22" t="inlineStr">
        <is>
          <t>Medical Consumables</t>
        </is>
      </c>
      <c r="D55" s="23" t="n">
        <v>13100</v>
      </c>
      <c r="E55" s="23" t="n">
        <v>150650</v>
      </c>
      <c r="F55" s="23" t="n">
        <v>18300</v>
      </c>
      <c r="G55" s="23" t="n">
        <v>65</v>
      </c>
      <c r="H55" s="23" t="n">
        <v>0</v>
      </c>
      <c r="I55" s="23" t="n">
        <v>0</v>
      </c>
      <c r="J55" s="22" t="inlineStr">
        <is>
          <t>Adequate</t>
        </is>
      </c>
    </row>
    <row r="56">
      <c r="A56" s="22" t="inlineStr">
        <is>
          <t>MED-0016</t>
        </is>
      </c>
      <c r="B56" s="22" t="inlineStr">
        <is>
          <t>Ferrous Sulphate + Folic Acid Tablet</t>
        </is>
      </c>
      <c r="C56" s="22" t="inlineStr">
        <is>
          <t>Medicines</t>
        </is>
      </c>
      <c r="D56" s="23" t="n">
        <v>74000</v>
      </c>
      <c r="E56" s="23" t="n">
        <v>136900</v>
      </c>
      <c r="F56" s="23" t="n">
        <v>108000</v>
      </c>
      <c r="G56" s="23" t="n">
        <v>62</v>
      </c>
      <c r="H56" s="23" t="n">
        <v>0</v>
      </c>
      <c r="I56" s="23" t="n">
        <v>0</v>
      </c>
      <c r="J56" s="22" t="inlineStr">
        <is>
          <t>Adequate</t>
        </is>
      </c>
    </row>
    <row r="57">
      <c r="A57" s="22" t="inlineStr">
        <is>
          <t>CON-0018</t>
        </is>
      </c>
      <c r="B57" s="22" t="inlineStr">
        <is>
          <t>Blood Transfusion Set</t>
        </is>
      </c>
      <c r="C57" s="22" t="inlineStr">
        <is>
          <t>Medical Consumables</t>
        </is>
      </c>
      <c r="D57" s="23" t="n">
        <v>700</v>
      </c>
      <c r="E57" s="23" t="n">
        <v>136500</v>
      </c>
      <c r="F57" s="23" t="n">
        <v>675</v>
      </c>
      <c r="G57" s="23" t="n">
        <v>94</v>
      </c>
      <c r="H57" s="23" t="n">
        <v>0</v>
      </c>
      <c r="I57" s="23" t="n">
        <v>0</v>
      </c>
      <c r="J57" s="22" t="inlineStr">
        <is>
          <t>Adequate</t>
        </is>
      </c>
    </row>
    <row r="58">
      <c r="A58" s="22" t="inlineStr">
        <is>
          <t>MED-0022</t>
        </is>
      </c>
      <c r="B58" s="22" t="inlineStr">
        <is>
          <t>Pyrazinamide 500 mg Tablet</t>
        </is>
      </c>
      <c r="C58" s="22" t="inlineStr">
        <is>
          <t>Medicines</t>
        </is>
      </c>
      <c r="D58" s="23" t="n">
        <v>16500</v>
      </c>
      <c r="E58" s="23" t="n">
        <v>133650</v>
      </c>
      <c r="F58" s="23" t="n">
        <v>10000</v>
      </c>
      <c r="G58" s="23" t="n">
        <v>150</v>
      </c>
      <c r="H58" s="23" t="n">
        <v>0</v>
      </c>
      <c r="I58" s="23" t="n">
        <v>0</v>
      </c>
      <c r="J58" s="22" t="inlineStr">
        <is>
          <t>Adequate</t>
        </is>
      </c>
    </row>
    <row r="59">
      <c r="A59" s="22" t="inlineStr">
        <is>
          <t>GEN-0002</t>
        </is>
      </c>
      <c r="B59" s="22" t="inlineStr">
        <is>
          <t>Bleach Solution 5% 1 L</t>
        </is>
      </c>
      <c r="C59" s="22" t="inlineStr">
        <is>
          <t>General Items</t>
        </is>
      </c>
      <c r="D59" s="23" t="n">
        <v>456</v>
      </c>
      <c r="E59" s="23" t="n">
        <v>129960</v>
      </c>
      <c r="F59" s="23" t="n">
        <v>468</v>
      </c>
      <c r="G59" s="23" t="n">
        <v>89</v>
      </c>
      <c r="H59" s="23" t="n">
        <v>0</v>
      </c>
      <c r="I59" s="23" t="n">
        <v>0</v>
      </c>
      <c r="J59" s="22" t="inlineStr">
        <is>
          <t>Adequate</t>
        </is>
      </c>
    </row>
    <row r="60">
      <c r="A60" s="22" t="inlineStr">
        <is>
          <t>MED-0024</t>
        </is>
      </c>
      <c r="B60" s="22" t="inlineStr">
        <is>
          <t>Artemether + Lumefantrine 20/120 mg</t>
        </is>
      </c>
      <c r="C60" s="22" t="inlineStr">
        <is>
          <t>Medicines</t>
        </is>
      </c>
      <c r="D60" s="23" t="n">
        <v>1080</v>
      </c>
      <c r="E60" s="23" t="n">
        <v>127440</v>
      </c>
      <c r="F60" s="23" t="n">
        <v>2910</v>
      </c>
      <c r="G60" s="23" t="n">
        <v>34</v>
      </c>
      <c r="H60" s="23" t="n">
        <v>0</v>
      </c>
      <c r="I60" s="23" t="n">
        <v>0</v>
      </c>
      <c r="J60" s="22" t="inlineStr">
        <is>
          <t>Adequate</t>
        </is>
      </c>
    </row>
    <row r="61">
      <c r="A61" s="22" t="inlineStr">
        <is>
          <t>MED-0003</t>
        </is>
      </c>
      <c r="B61" s="22" t="inlineStr">
        <is>
          <t>Amoxicillin + Clavulanic Acid 625 mg</t>
        </is>
      </c>
      <c r="C61" s="22" t="inlineStr">
        <is>
          <t>Medicines</t>
        </is>
      </c>
      <c r="D61" s="23" t="n">
        <v>2800</v>
      </c>
      <c r="E61" s="23" t="n">
        <v>107800</v>
      </c>
      <c r="F61" s="23" t="n">
        <v>4100</v>
      </c>
      <c r="G61" s="23" t="n">
        <v>62</v>
      </c>
      <c r="H61" s="23" t="n">
        <v>11520</v>
      </c>
      <c r="I61" s="23" t="n">
        <v>300</v>
      </c>
      <c r="J61" s="22" t="inlineStr">
        <is>
          <t>Adequate</t>
        </is>
      </c>
    </row>
    <row r="62">
      <c r="A62" s="22" t="inlineStr">
        <is>
          <t>MED-0018</t>
        </is>
      </c>
      <c r="B62" s="22" t="inlineStr">
        <is>
          <t>Vitamin A 200,000 IU Capsule</t>
        </is>
      </c>
      <c r="C62" s="22" t="inlineStr">
        <is>
          <t>Medicines</t>
        </is>
      </c>
      <c r="D62" s="23" t="n">
        <v>8600</v>
      </c>
      <c r="E62" s="23" t="n">
        <v>106640</v>
      </c>
      <c r="F62" s="23" t="n">
        <v>9900</v>
      </c>
      <c r="G62" s="23" t="n">
        <v>79</v>
      </c>
      <c r="H62" s="23" t="n">
        <v>0</v>
      </c>
      <c r="I62" s="23" t="n">
        <v>0</v>
      </c>
      <c r="J62" s="22" t="inlineStr">
        <is>
          <t>Adequate</t>
        </is>
      </c>
    </row>
    <row r="63">
      <c r="A63" s="22" t="inlineStr">
        <is>
          <t>GEN-0008</t>
        </is>
      </c>
      <c r="B63" s="22" t="inlineStr">
        <is>
          <t>Hand Wash Soap 100 g</t>
        </is>
      </c>
      <c r="C63" s="22" t="inlineStr">
        <is>
          <t>General Items</t>
        </is>
      </c>
      <c r="D63" s="23" t="n">
        <v>864</v>
      </c>
      <c r="E63" s="23" t="n">
        <v>101952</v>
      </c>
      <c r="F63" s="23" t="n">
        <v>1128</v>
      </c>
      <c r="G63" s="23" t="n">
        <v>70</v>
      </c>
      <c r="H63" s="23" t="n">
        <v>0</v>
      </c>
      <c r="I63" s="23" t="n">
        <v>0</v>
      </c>
      <c r="J63" s="22" t="inlineStr">
        <is>
          <t>Adequate</t>
        </is>
      </c>
    </row>
    <row r="64">
      <c r="A64" s="22" t="inlineStr">
        <is>
          <t>MED-0029</t>
        </is>
      </c>
      <c r="B64" s="22" t="inlineStr">
        <is>
          <t>Diclofenac 75 mg Injection</t>
        </is>
      </c>
      <c r="C64" s="22" t="inlineStr">
        <is>
          <t>Medicines</t>
        </is>
      </c>
      <c r="D64" s="23" t="n">
        <v>3540</v>
      </c>
      <c r="E64" s="23" t="n">
        <v>100890</v>
      </c>
      <c r="F64" s="23" t="n">
        <v>3600</v>
      </c>
      <c r="G64" s="23" t="n">
        <v>89</v>
      </c>
      <c r="H64" s="23" t="n">
        <v>0</v>
      </c>
      <c r="I64" s="23" t="n">
        <v>0</v>
      </c>
      <c r="J64" s="22" t="inlineStr">
        <is>
          <t>Adequate</t>
        </is>
      </c>
    </row>
    <row r="65">
      <c r="A65" s="22" t="inlineStr">
        <is>
          <t>MED-0021</t>
        </is>
      </c>
      <c r="B65" s="22" t="inlineStr">
        <is>
          <t>Ethambutol 400 mg Tablet</t>
        </is>
      </c>
      <c r="C65" s="22" t="inlineStr">
        <is>
          <t>Medicines</t>
        </is>
      </c>
      <c r="D65" s="23" t="n">
        <v>13500</v>
      </c>
      <c r="E65" s="23" t="n">
        <v>99900</v>
      </c>
      <c r="F65" s="23" t="n">
        <v>12500</v>
      </c>
      <c r="G65" s="23" t="n">
        <v>98</v>
      </c>
      <c r="H65" s="23" t="n">
        <v>0</v>
      </c>
      <c r="I65" s="23" t="n">
        <v>0</v>
      </c>
      <c r="J65" s="22" t="inlineStr">
        <is>
          <t>Adequate</t>
        </is>
      </c>
    </row>
    <row r="66">
      <c r="A66" s="22" t="inlineStr">
        <is>
          <t>MED-0001</t>
        </is>
      </c>
      <c r="B66" s="22" t="inlineStr">
        <is>
          <t>Paracetamol 500 mg Tablet</t>
        </is>
      </c>
      <c r="C66" s="22" t="inlineStr">
        <is>
          <t>Medicines</t>
        </is>
      </c>
      <c r="D66" s="23" t="n">
        <v>77000</v>
      </c>
      <c r="E66" s="23" t="n">
        <v>88550</v>
      </c>
      <c r="F66" s="23" t="n">
        <v>110000</v>
      </c>
      <c r="G66" s="23" t="n">
        <v>64</v>
      </c>
      <c r="H66" s="23" t="n">
        <v>0</v>
      </c>
      <c r="I66" s="23" t="n">
        <v>0</v>
      </c>
      <c r="J66" s="22" t="inlineStr">
        <is>
          <t>Adequate</t>
        </is>
      </c>
    </row>
    <row r="67">
      <c r="A67" s="22" t="inlineStr">
        <is>
          <t>GEN-0004</t>
        </is>
      </c>
      <c r="B67" s="22" t="inlineStr">
        <is>
          <t>Registers &amp; Health Cards (Pack)</t>
        </is>
      </c>
      <c r="C67" s="22" t="inlineStr">
        <is>
          <t>General Items</t>
        </is>
      </c>
      <c r="D67" s="23" t="n">
        <v>99</v>
      </c>
      <c r="E67" s="23" t="n">
        <v>88110</v>
      </c>
      <c r="F67" s="23" t="n">
        <v>84</v>
      </c>
      <c r="G67" s="23" t="n">
        <v>107</v>
      </c>
      <c r="H67" s="23" t="n">
        <v>0</v>
      </c>
      <c r="I67" s="23" t="n">
        <v>0</v>
      </c>
      <c r="J67" s="22" t="inlineStr">
        <is>
          <t>Adequate</t>
        </is>
      </c>
    </row>
    <row r="68">
      <c r="A68" s="22" t="inlineStr">
        <is>
          <t>MED-0017</t>
        </is>
      </c>
      <c r="B68" s="22" t="inlineStr">
        <is>
          <t>Zinc Sulphate 20 mg Dispersible Tablet</t>
        </is>
      </c>
      <c r="C68" s="22" t="inlineStr">
        <is>
          <t>Medicines</t>
        </is>
      </c>
      <c r="D68" s="23" t="n">
        <v>27500</v>
      </c>
      <c r="E68" s="23" t="n">
        <v>85250</v>
      </c>
      <c r="F68" s="23" t="n">
        <v>44500</v>
      </c>
      <c r="G68" s="23" t="n">
        <v>56</v>
      </c>
      <c r="H68" s="23" t="n">
        <v>0</v>
      </c>
      <c r="I68" s="23" t="n">
        <v>0</v>
      </c>
      <c r="J68" s="22" t="inlineStr">
        <is>
          <t>Adequate</t>
        </is>
      </c>
    </row>
    <row r="69">
      <c r="A69" s="22" t="inlineStr">
        <is>
          <t>MED-0008</t>
        </is>
      </c>
      <c r="B69" s="22" t="inlineStr">
        <is>
          <t>Ibuprofen 400 mg Tablet</t>
        </is>
      </c>
      <c r="C69" s="22" t="inlineStr">
        <is>
          <t>Medicines</t>
        </is>
      </c>
      <c r="D69" s="23" t="n">
        <v>31000</v>
      </c>
      <c r="E69" s="23" t="n">
        <v>74400</v>
      </c>
      <c r="F69" s="23" t="n">
        <v>55000</v>
      </c>
      <c r="G69" s="23" t="n">
        <v>51</v>
      </c>
      <c r="H69" s="23" t="n">
        <v>0</v>
      </c>
      <c r="I69" s="23" t="n">
        <v>0</v>
      </c>
      <c r="J69" s="22" t="inlineStr">
        <is>
          <t>Adequate</t>
        </is>
      </c>
    </row>
    <row r="70">
      <c r="A70" s="22" t="inlineStr">
        <is>
          <t>EQP-0009</t>
        </is>
      </c>
      <c r="B70" s="22" t="inlineStr">
        <is>
          <t>Examination Couch, Folding</t>
        </is>
      </c>
      <c r="C70" s="22" t="inlineStr">
        <is>
          <t>Equipment</t>
        </is>
      </c>
      <c r="D70" s="23" t="n">
        <v>2</v>
      </c>
      <c r="E70" s="23" t="n">
        <v>68000</v>
      </c>
      <c r="F70" s="23" t="n">
        <v>0</v>
      </c>
      <c r="G70" s="23" t="n"/>
      <c r="H70" s="23" t="n">
        <v>33911.87</v>
      </c>
      <c r="I70" s="23" t="n">
        <v>1</v>
      </c>
      <c r="J70" s="22" t="inlineStr">
        <is>
          <t>Slow-moving</t>
        </is>
      </c>
    </row>
    <row r="71">
      <c r="A71" s="22" t="inlineStr">
        <is>
          <t>MED-0020</t>
        </is>
      </c>
      <c r="B71" s="22" t="inlineStr">
        <is>
          <t>Isoniazid 300 mg Tablet</t>
        </is>
      </c>
      <c r="C71" s="22" t="inlineStr">
        <is>
          <t>Medicines</t>
        </is>
      </c>
      <c r="D71" s="23" t="n">
        <v>17000</v>
      </c>
      <c r="E71" s="23" t="n">
        <v>66300</v>
      </c>
      <c r="F71" s="23" t="n">
        <v>20000</v>
      </c>
      <c r="G71" s="23" t="n">
        <v>77</v>
      </c>
      <c r="H71" s="23" t="n">
        <v>0</v>
      </c>
      <c r="I71" s="23" t="n">
        <v>0</v>
      </c>
      <c r="J71" s="22" t="inlineStr">
        <is>
          <t>Adequate</t>
        </is>
      </c>
    </row>
    <row r="72">
      <c r="A72" s="22" t="inlineStr">
        <is>
          <t>MED-0014</t>
        </is>
      </c>
      <c r="B72" s="22" t="inlineStr">
        <is>
          <t>Oxytocin 10 IU Injection</t>
        </is>
      </c>
      <c r="C72" s="22" t="inlineStr">
        <is>
          <t>Medicines</t>
        </is>
      </c>
      <c r="D72" s="23" t="n">
        <v>1630</v>
      </c>
      <c r="E72" s="23" t="n">
        <v>56235</v>
      </c>
      <c r="F72" s="23" t="n">
        <v>1600</v>
      </c>
      <c r="G72" s="23" t="n">
        <v>93</v>
      </c>
      <c r="H72" s="23" t="n">
        <v>7634.2</v>
      </c>
      <c r="I72" s="23" t="n">
        <v>200</v>
      </c>
      <c r="J72" s="22" t="inlineStr">
        <is>
          <t>Adequate</t>
        </is>
      </c>
    </row>
    <row r="73">
      <c r="A73" s="22" t="inlineStr">
        <is>
          <t>MED-0033</t>
        </is>
      </c>
      <c r="B73" s="22" t="inlineStr">
        <is>
          <t>Calcium Carbonate + Vitamin D3</t>
        </is>
      </c>
      <c r="C73" s="22" t="inlineStr">
        <is>
          <t>Medicines</t>
        </is>
      </c>
      <c r="D73" s="23" t="n">
        <v>8500</v>
      </c>
      <c r="E73" s="23" t="n">
        <v>52700</v>
      </c>
      <c r="F73" s="23" t="n">
        <v>13500</v>
      </c>
      <c r="G73" s="23" t="n">
        <v>57</v>
      </c>
      <c r="H73" s="23" t="n">
        <v>0</v>
      </c>
      <c r="I73" s="23" t="n">
        <v>0</v>
      </c>
      <c r="J73" s="22" t="inlineStr">
        <is>
          <t>Adequate</t>
        </is>
      </c>
    </row>
    <row r="74">
      <c r="A74" s="22" t="inlineStr">
        <is>
          <t>MED-0027</t>
        </is>
      </c>
      <c r="B74" s="22" t="inlineStr">
        <is>
          <t>Adrenaline 1 mg/ml Injection</t>
        </is>
      </c>
      <c r="C74" s="22" t="inlineStr">
        <is>
          <t>Medicines</t>
        </is>
      </c>
      <c r="D74" s="23" t="n">
        <v>770</v>
      </c>
      <c r="E74" s="23" t="n">
        <v>52360</v>
      </c>
      <c r="F74" s="23" t="n">
        <v>690</v>
      </c>
      <c r="G74" s="23" t="n">
        <v>102</v>
      </c>
      <c r="H74" s="23" t="n">
        <v>3563.2</v>
      </c>
      <c r="I74" s="23" t="n">
        <v>50</v>
      </c>
      <c r="J74" s="22" t="inlineStr">
        <is>
          <t>Adequate</t>
        </is>
      </c>
    </row>
    <row r="75">
      <c r="A75" s="22" t="inlineStr">
        <is>
          <t>MED-0013</t>
        </is>
      </c>
      <c r="B75" s="22" t="inlineStr">
        <is>
          <t>Misoprostol 200 mcg Tablet</t>
        </is>
      </c>
      <c r="C75" s="22" t="inlineStr">
        <is>
          <t>Medicines</t>
        </is>
      </c>
      <c r="D75" s="23" t="n">
        <v>1920</v>
      </c>
      <c r="E75" s="23" t="n">
        <v>49920</v>
      </c>
      <c r="F75" s="23" t="n">
        <v>1440</v>
      </c>
      <c r="G75" s="23" t="n">
        <v>121</v>
      </c>
      <c r="H75" s="23" t="n">
        <v>0</v>
      </c>
      <c r="I75" s="23" t="n">
        <v>0</v>
      </c>
      <c r="J75" s="22" t="inlineStr">
        <is>
          <t>Adequate</t>
        </is>
      </c>
    </row>
    <row r="76">
      <c r="A76" s="22" t="inlineStr">
        <is>
          <t>MED-0023</t>
        </is>
      </c>
      <c r="B76" s="22" t="inlineStr">
        <is>
          <t>Mebendazole 100 mg Tablet</t>
        </is>
      </c>
      <c r="C76" s="22" t="inlineStr">
        <is>
          <t>Medicines</t>
        </is>
      </c>
      <c r="D76" s="23" t="n">
        <v>19000</v>
      </c>
      <c r="E76" s="23" t="n">
        <v>49400</v>
      </c>
      <c r="F76" s="23" t="n">
        <v>36500</v>
      </c>
      <c r="G76" s="23" t="n">
        <v>47</v>
      </c>
      <c r="H76" s="23" t="n">
        <v>0</v>
      </c>
      <c r="I76" s="23" t="n">
        <v>0</v>
      </c>
      <c r="J76" s="22" t="inlineStr">
        <is>
          <t>Adequate</t>
        </is>
      </c>
    </row>
    <row r="77">
      <c r="A77" s="22" t="inlineStr">
        <is>
          <t>MED-0026</t>
        </is>
      </c>
      <c r="B77" s="22" t="inlineStr">
        <is>
          <t>Hydrocortisone 100 mg Injection</t>
        </is>
      </c>
      <c r="C77" s="22" t="inlineStr">
        <is>
          <t>Medicines</t>
        </is>
      </c>
      <c r="D77" s="23" t="n">
        <v>906</v>
      </c>
      <c r="E77" s="23" t="n">
        <v>47112</v>
      </c>
      <c r="F77" s="23" t="n">
        <v>925</v>
      </c>
      <c r="G77" s="23" t="n">
        <v>89</v>
      </c>
      <c r="H77" s="23" t="n">
        <v>207.92</v>
      </c>
      <c r="I77" s="23" t="n">
        <v>4</v>
      </c>
      <c r="J77" s="22" t="inlineStr">
        <is>
          <t>Adequate</t>
        </is>
      </c>
    </row>
    <row r="78">
      <c r="A78" s="22" t="inlineStr">
        <is>
          <t>MED-0032</t>
        </is>
      </c>
      <c r="B78" s="22" t="inlineStr">
        <is>
          <t>Folic Acid 5 mg Tablet</t>
        </is>
      </c>
      <c r="C78" s="22" t="inlineStr">
        <is>
          <t>Medicines</t>
        </is>
      </c>
      <c r="D78" s="23" t="n">
        <v>43000</v>
      </c>
      <c r="E78" s="23" t="n">
        <v>45150</v>
      </c>
      <c r="F78" s="23" t="n">
        <v>76000</v>
      </c>
      <c r="G78" s="23" t="n">
        <v>51</v>
      </c>
      <c r="H78" s="23" t="n">
        <v>0</v>
      </c>
      <c r="I78" s="23" t="n">
        <v>0</v>
      </c>
      <c r="J78" s="22" t="inlineStr">
        <is>
          <t>Adequate</t>
        </is>
      </c>
    </row>
    <row r="79">
      <c r="A79" s="22" t="inlineStr">
        <is>
          <t>MED-0005</t>
        </is>
      </c>
      <c r="B79" s="22" t="inlineStr">
        <is>
          <t>Metronidazole 400 mg Tablet</t>
        </is>
      </c>
      <c r="C79" s="22" t="inlineStr">
        <is>
          <t>Medicines</t>
        </is>
      </c>
      <c r="D79" s="23" t="n">
        <v>19000</v>
      </c>
      <c r="E79" s="23" t="n">
        <v>39900</v>
      </c>
      <c r="F79" s="23" t="n">
        <v>28000</v>
      </c>
      <c r="G79" s="23" t="n">
        <v>62</v>
      </c>
      <c r="H79" s="23" t="n">
        <v>0</v>
      </c>
      <c r="I79" s="23" t="n">
        <v>0</v>
      </c>
      <c r="J79" s="22" t="inlineStr">
        <is>
          <t>Adequate</t>
        </is>
      </c>
    </row>
    <row r="80">
      <c r="A80" s="22" t="inlineStr">
        <is>
          <t>LAB-0007</t>
        </is>
      </c>
      <c r="B80" s="22" t="inlineStr">
        <is>
          <t>Microscope Slide, Frosted</t>
        </is>
      </c>
      <c r="C80" s="22" t="inlineStr">
        <is>
          <t>Laboratory</t>
        </is>
      </c>
      <c r="D80" s="23" t="n">
        <v>7050</v>
      </c>
      <c r="E80" s="23" t="n">
        <v>39480</v>
      </c>
      <c r="F80" s="23" t="n">
        <v>6250</v>
      </c>
      <c r="G80" s="23" t="n">
        <v>103</v>
      </c>
      <c r="H80" s="23" t="n">
        <v>0</v>
      </c>
      <c r="I80" s="23" t="n">
        <v>0</v>
      </c>
      <c r="J80" s="22" t="inlineStr">
        <is>
          <t>Adequate</t>
        </is>
      </c>
    </row>
    <row r="81">
      <c r="A81" s="22" t="inlineStr">
        <is>
          <t>EQP-0001</t>
        </is>
      </c>
      <c r="B81" s="22" t="inlineStr">
        <is>
          <t>Digital Weighing Scale, Infant</t>
        </is>
      </c>
      <c r="C81" s="22" t="inlineStr">
        <is>
          <t>Equipment</t>
        </is>
      </c>
      <c r="D81" s="23" t="n">
        <v>2</v>
      </c>
      <c r="E81" s="23" t="n">
        <v>37000</v>
      </c>
      <c r="F81" s="23" t="n">
        <v>0</v>
      </c>
      <c r="G81" s="23" t="n"/>
      <c r="H81" s="23" t="n">
        <v>18452.05</v>
      </c>
      <c r="I81" s="23" t="n">
        <v>1</v>
      </c>
      <c r="J81" s="22" t="inlineStr">
        <is>
          <t>Slow-moving</t>
        </is>
      </c>
    </row>
    <row r="82">
      <c r="A82" s="22" t="inlineStr">
        <is>
          <t>MED-0006</t>
        </is>
      </c>
      <c r="B82" s="22" t="inlineStr">
        <is>
          <t>Ciprofloxacin 500 mg Tablet</t>
        </is>
      </c>
      <c r="C82" s="22" t="inlineStr">
        <is>
          <t>Medicines</t>
        </is>
      </c>
      <c r="D82" s="23" t="n">
        <v>5400</v>
      </c>
      <c r="E82" s="23" t="n">
        <v>36720</v>
      </c>
      <c r="F82" s="23" t="n">
        <v>8200</v>
      </c>
      <c r="G82" s="23" t="n">
        <v>60</v>
      </c>
      <c r="H82" s="23" t="n">
        <v>0</v>
      </c>
      <c r="I82" s="23" t="n">
        <v>0</v>
      </c>
      <c r="J82" s="22" t="inlineStr">
        <is>
          <t>Adequate</t>
        </is>
      </c>
    </row>
    <row r="83">
      <c r="A83" s="22" t="inlineStr">
        <is>
          <t>EQP-0008</t>
        </is>
      </c>
      <c r="B83" s="22" t="inlineStr">
        <is>
          <t>Nebuliser Machine</t>
        </is>
      </c>
      <c r="C83" s="22" t="inlineStr">
        <is>
          <t>Equipment</t>
        </is>
      </c>
      <c r="D83" s="23" t="n">
        <v>2</v>
      </c>
      <c r="E83" s="23" t="n">
        <v>29000</v>
      </c>
      <c r="F83" s="23" t="n">
        <v>0</v>
      </c>
      <c r="G83" s="23" t="n"/>
      <c r="H83" s="23" t="n">
        <v>14462.42</v>
      </c>
      <c r="I83" s="23" t="n">
        <v>1</v>
      </c>
      <c r="J83" s="22" t="inlineStr">
        <is>
          <t>Slow-moving</t>
        </is>
      </c>
    </row>
    <row r="84">
      <c r="A84" s="22" t="inlineStr">
        <is>
          <t>EQP-0010</t>
        </is>
      </c>
      <c r="B84" s="22" t="inlineStr">
        <is>
          <t>Cold Box, Vaccine Carrier 5 L</t>
        </is>
      </c>
      <c r="C84" s="22" t="inlineStr">
        <is>
          <t>Equipment</t>
        </is>
      </c>
      <c r="D84" s="23" t="n">
        <v>2</v>
      </c>
      <c r="E84" s="23" t="n">
        <v>25600</v>
      </c>
      <c r="F84" s="23" t="n">
        <v>0</v>
      </c>
      <c r="G84" s="23" t="n"/>
      <c r="H84" s="23" t="n">
        <v>12766.82</v>
      </c>
      <c r="I84" s="23" t="n">
        <v>1</v>
      </c>
      <c r="J84" s="22" t="inlineStr">
        <is>
          <t>Slow-moving</t>
        </is>
      </c>
    </row>
    <row r="85">
      <c r="A85" s="22" t="inlineStr">
        <is>
          <t>MED-0028</t>
        </is>
      </c>
      <c r="B85" s="22" t="inlineStr">
        <is>
          <t>Atropine 0.6 mg/ml Injection</t>
        </is>
      </c>
      <c r="C85" s="22" t="inlineStr">
        <is>
          <t>Medicines</t>
        </is>
      </c>
      <c r="D85" s="23" t="n">
        <v>550</v>
      </c>
      <c r="E85" s="23" t="n">
        <v>21450</v>
      </c>
      <c r="F85" s="23" t="n">
        <v>750</v>
      </c>
      <c r="G85" s="23" t="n">
        <v>67</v>
      </c>
      <c r="H85" s="23" t="n">
        <v>1589.6</v>
      </c>
      <c r="I85" s="23" t="n">
        <v>40</v>
      </c>
      <c r="J85" s="22" t="inlineStr">
        <is>
          <t>Adequate</t>
        </is>
      </c>
    </row>
    <row r="86">
      <c r="A86" s="22" t="inlineStr">
        <is>
          <t>MED-0015</t>
        </is>
      </c>
      <c r="B86" s="22" t="inlineStr">
        <is>
          <t>Magnesium Sulphate 50% 10 ml</t>
        </is>
      </c>
      <c r="C86" s="22" t="inlineStr">
        <is>
          <t>Medicines</t>
        </is>
      </c>
      <c r="D86" s="23" t="n">
        <v>510</v>
      </c>
      <c r="E86" s="23" t="n">
        <v>20910</v>
      </c>
      <c r="F86" s="23" t="n">
        <v>880</v>
      </c>
      <c r="G86" s="23" t="n">
        <v>53</v>
      </c>
      <c r="H86" s="23" t="n">
        <v>0</v>
      </c>
      <c r="I86" s="23" t="n">
        <v>0</v>
      </c>
      <c r="J86" s="22" t="inlineStr">
        <is>
          <t>Adequate</t>
        </is>
      </c>
    </row>
    <row r="87">
      <c r="A87" s="22" t="inlineStr">
        <is>
          <t>EQP-0007</t>
        </is>
      </c>
      <c r="B87" s="22" t="inlineStr">
        <is>
          <t>Pulse Oximeter, Fingertip</t>
        </is>
      </c>
      <c r="C87" s="22" t="inlineStr">
        <is>
          <t>Equipment</t>
        </is>
      </c>
      <c r="D87" s="23" t="n">
        <v>2</v>
      </c>
      <c r="E87" s="23" t="n">
        <v>13600</v>
      </c>
      <c r="F87" s="23" t="n">
        <v>1</v>
      </c>
      <c r="G87" s="23" t="n">
        <v>182</v>
      </c>
      <c r="H87" s="23" t="n">
        <v>6782.37</v>
      </c>
      <c r="I87" s="23" t="n">
        <v>1</v>
      </c>
      <c r="J87" s="22" t="inlineStr">
        <is>
          <t>Adequate</t>
        </is>
      </c>
    </row>
    <row r="88">
      <c r="A88" s="22" t="inlineStr">
        <is>
          <t>EQP-0006</t>
        </is>
      </c>
      <c r="B88" s="22" t="inlineStr">
        <is>
          <t>Digital Thermometer</t>
        </is>
      </c>
      <c r="C88" s="22" t="inlineStr">
        <is>
          <t>Equipment</t>
        </is>
      </c>
      <c r="D88" s="23" t="n">
        <v>6</v>
      </c>
      <c r="E88" s="23" t="n">
        <v>8700</v>
      </c>
      <c r="F88" s="23" t="n">
        <v>0</v>
      </c>
      <c r="G88" s="23" t="n"/>
      <c r="H88" s="23" t="n">
        <v>2892.48</v>
      </c>
      <c r="I88" s="23" t="n">
        <v>2</v>
      </c>
      <c r="J88" s="22" t="inlineStr">
        <is>
          <t>Slow-moving</t>
        </is>
      </c>
    </row>
    <row r="89">
      <c r="A89" s="26" t="inlineStr"/>
      <c r="B89" s="26" t="inlineStr">
        <is>
          <t>TOTAL</t>
        </is>
      </c>
      <c r="C89" s="26" t="inlineStr"/>
      <c r="D89" s="27" t="n">
        <v>1112186</v>
      </c>
      <c r="E89" s="27" t="n">
        <v>35161121.4</v>
      </c>
      <c r="F89" s="27" t="n">
        <v>1271879</v>
      </c>
      <c r="G89" s="26" t="inlineStr"/>
      <c r="H89" s="27" t="n">
        <v>783764.1800000001</v>
      </c>
      <c r="I89" s="27" t="n">
        <v>20343</v>
      </c>
      <c r="J89" s="26" t="inlineStr"/>
    </row>
    <row r="92">
      <c r="A92" s="10" t="inlineStr">
        <is>
          <t>Expiry exposure by bucket (value of stock held)</t>
        </is>
      </c>
    </row>
    <row r="93" ht="30" customHeight="1">
      <c r="A93" s="11" t="inlineStr">
        <is>
          <t>Bucket (days to expiry)</t>
        </is>
      </c>
      <c r="B93" s="11" t="inlineStr">
        <is>
          <t>Value at risk</t>
        </is>
      </c>
      <c r="C93" s="11" t="inlineStr">
        <is>
          <t>Share of stock value</t>
        </is>
      </c>
    </row>
    <row r="94">
      <c r="A94" s="12" t="inlineStr">
        <is>
          <t>Expired (already past)</t>
        </is>
      </c>
      <c r="B94" s="13" t="n">
        <v>783764.1800000001</v>
      </c>
      <c r="C94" s="18" t="n">
        <v>0.0191</v>
      </c>
    </row>
    <row r="95">
      <c r="A95" s="12" t="inlineStr">
        <is>
          <t>0-30</t>
        </is>
      </c>
      <c r="B95" s="13" t="n">
        <v>129501.7</v>
      </c>
      <c r="C95" s="18" t="n">
        <v>0.0032</v>
      </c>
    </row>
    <row r="96">
      <c r="A96" s="12" t="inlineStr">
        <is>
          <t>31-60</t>
        </is>
      </c>
      <c r="B96" s="13" t="n">
        <v>821438.21</v>
      </c>
      <c r="C96" s="18" t="n">
        <v>0.02</v>
      </c>
    </row>
    <row r="97">
      <c r="A97" s="12" t="inlineStr">
        <is>
          <t>61-90</t>
        </is>
      </c>
      <c r="B97" s="13" t="n">
        <v>636719.58</v>
      </c>
      <c r="C97" s="18" t="n">
        <v>0.0155</v>
      </c>
    </row>
    <row r="98">
      <c r="A98" s="12" t="inlineStr">
        <is>
          <t>91-180</t>
        </is>
      </c>
      <c r="B98" s="13" t="n">
        <v>587694.79</v>
      </c>
      <c r="C98" s="18" t="n">
        <v>0.0143</v>
      </c>
    </row>
    <row r="99">
      <c r="A99" s="12" t="inlineStr">
        <is>
          <t>&gt;180</t>
        </is>
      </c>
      <c r="B99" s="13" t="n">
        <v>38131325.48</v>
      </c>
      <c r="C99" s="18" t="n">
        <v>0.928</v>
      </c>
    </row>
  </sheetData>
  <mergeCells count="1"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2A65A"/>
    <outlinePr summaryBelow="1" summaryRight="1"/>
    <pageSetUpPr/>
  </sheetPr>
  <dimension ref="A1:H11"/>
  <sheetViews>
    <sheetView showGridLines="0" zoomScale="90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20" customWidth="1" min="3" max="3"/>
    <col width="14" customWidth="1" min="4" max="4"/>
    <col width="14" customWidth="1" min="5" max="5"/>
    <col width="16" customWidth="1" min="6" max="6"/>
    <col width="18" customWidth="1" min="7" max="7"/>
    <col width="18" customWidth="1" min="8" max="8"/>
  </cols>
  <sheetData>
    <row r="1">
      <c r="A1" s="1" t="inlineStr">
        <is>
          <t>Slow-moving and Non-moving Stock</t>
        </is>
      </c>
    </row>
    <row r="2">
      <c r="A2" s="2" t="inlineStr">
        <is>
          <t>Items with stock on hand but no or low consumption in the lookback period. Value at standard cost.</t>
        </is>
      </c>
    </row>
    <row r="3" ht="6" customHeight="1"/>
    <row r="5" ht="30" customHeight="1">
      <c r="A5" s="11" t="inlineStr">
        <is>
          <t>Item ID</t>
        </is>
      </c>
      <c r="B5" s="11" t="inlineStr">
        <is>
          <t>Item description</t>
        </is>
      </c>
      <c r="C5" s="11" t="inlineStr">
        <is>
          <t>Category</t>
        </is>
      </c>
      <c r="D5" s="11" t="inlineStr">
        <is>
          <t>On hand</t>
        </is>
      </c>
      <c r="E5" s="11" t="inlineStr">
        <is>
          <t>Stock value</t>
        </is>
      </c>
      <c r="F5" s="11" t="inlineStr">
        <is>
          <t>Consumed (90 days)</t>
        </is>
      </c>
      <c r="G5" s="11" t="inlineStr">
        <is>
          <t>Consumed (last 12 mo)</t>
        </is>
      </c>
      <c r="H5" s="11" t="inlineStr">
        <is>
          <t>Classification</t>
        </is>
      </c>
    </row>
    <row r="6">
      <c r="A6" s="22" t="inlineStr">
        <is>
          <t>EQP-0006</t>
        </is>
      </c>
      <c r="B6" s="22" t="inlineStr">
        <is>
          <t>Digital Thermometer</t>
        </is>
      </c>
      <c r="C6" s="22" t="inlineStr">
        <is>
          <t>Equipment</t>
        </is>
      </c>
      <c r="D6" s="23" t="n">
        <v>6</v>
      </c>
      <c r="E6" s="23" t="n">
        <v>8700</v>
      </c>
      <c r="F6" s="23" t="n">
        <v>0</v>
      </c>
      <c r="G6" s="23" t="n">
        <v>1</v>
      </c>
      <c r="H6" s="22" t="inlineStr">
        <is>
          <t>Non-moving 3 months</t>
        </is>
      </c>
    </row>
    <row r="7">
      <c r="A7" s="22" t="inlineStr">
        <is>
          <t>EQP-0008</t>
        </is>
      </c>
      <c r="B7" s="22" t="inlineStr">
        <is>
          <t>Nebuliser Machine</t>
        </is>
      </c>
      <c r="C7" s="22" t="inlineStr">
        <is>
          <t>Equipment</t>
        </is>
      </c>
      <c r="D7" s="23" t="n">
        <v>2</v>
      </c>
      <c r="E7" s="23" t="n">
        <v>29000</v>
      </c>
      <c r="F7" s="23" t="n">
        <v>0</v>
      </c>
      <c r="G7" s="23" t="n">
        <v>0</v>
      </c>
      <c r="H7" s="22" t="inlineStr">
        <is>
          <t>Non-moving 12 months</t>
        </is>
      </c>
    </row>
    <row r="8">
      <c r="A8" s="22" t="inlineStr">
        <is>
          <t>EQP-0001</t>
        </is>
      </c>
      <c r="B8" s="22" t="inlineStr">
        <is>
          <t>Digital Weighing Scale, Infant</t>
        </is>
      </c>
      <c r="C8" s="22" t="inlineStr">
        <is>
          <t>Equipment</t>
        </is>
      </c>
      <c r="D8" s="23" t="n">
        <v>2</v>
      </c>
      <c r="E8" s="23" t="n">
        <v>37000</v>
      </c>
      <c r="F8" s="23" t="n">
        <v>0</v>
      </c>
      <c r="G8" s="23" t="n">
        <v>1</v>
      </c>
      <c r="H8" s="22" t="inlineStr">
        <is>
          <t>Non-moving 3 months</t>
        </is>
      </c>
    </row>
    <row r="9">
      <c r="A9" s="22" t="inlineStr">
        <is>
          <t>EQP-0009</t>
        </is>
      </c>
      <c r="B9" s="22" t="inlineStr">
        <is>
          <t>Examination Couch, Folding</t>
        </is>
      </c>
      <c r="C9" s="22" t="inlineStr">
        <is>
          <t>Equipment</t>
        </is>
      </c>
      <c r="D9" s="23" t="n">
        <v>2</v>
      </c>
      <c r="E9" s="23" t="n">
        <v>68000</v>
      </c>
      <c r="F9" s="23" t="n">
        <v>0</v>
      </c>
      <c r="G9" s="23" t="n">
        <v>0</v>
      </c>
      <c r="H9" s="22" t="inlineStr">
        <is>
          <t>Non-moving 12 months</t>
        </is>
      </c>
    </row>
    <row r="10">
      <c r="A10" s="22" t="inlineStr">
        <is>
          <t>EQP-0010</t>
        </is>
      </c>
      <c r="B10" s="22" t="inlineStr">
        <is>
          <t>Cold Box, Vaccine Carrier 5 L</t>
        </is>
      </c>
      <c r="C10" s="22" t="inlineStr">
        <is>
          <t>Equipment</t>
        </is>
      </c>
      <c r="D10" s="23" t="n">
        <v>2</v>
      </c>
      <c r="E10" s="23" t="n">
        <v>25600</v>
      </c>
      <c r="F10" s="23" t="n">
        <v>0</v>
      </c>
      <c r="G10" s="23" t="n">
        <v>0</v>
      </c>
      <c r="H10" s="22" t="inlineStr">
        <is>
          <t>Non-moving 12 months</t>
        </is>
      </c>
    </row>
    <row r="11">
      <c r="A11" s="26" t="inlineStr"/>
      <c r="B11" s="26" t="inlineStr">
        <is>
          <t>TOTAL</t>
        </is>
      </c>
      <c r="C11" s="26" t="inlineStr"/>
      <c r="D11" s="27" t="n">
        <v>14</v>
      </c>
      <c r="E11" s="27" t="n">
        <v>168300</v>
      </c>
      <c r="F11" s="26" t="inlineStr"/>
      <c r="G11" s="26" t="inlineStr"/>
      <c r="H11" s="26" t="inlineStr"/>
    </row>
  </sheetData>
  <mergeCells count="1">
    <mergeCell ref="A2:H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C78A8"/>
    <outlinePr summaryBelow="1" summaryRight="1"/>
    <pageSetUpPr/>
  </sheetPr>
  <dimension ref="A1:H18"/>
  <sheetViews>
    <sheetView showGridLines="0" zoomScale="90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18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Supplier Performance</t>
        </is>
      </c>
    </row>
    <row r="2">
      <c r="A2" s="2" t="inlineStr">
        <is>
          <t>Lead time from PO date to first receipt. Fulfilment counts orders with at least one receipt.</t>
        </is>
      </c>
    </row>
    <row r="3" ht="6" customHeight="1"/>
    <row r="5" ht="30" customHeight="1">
      <c r="A5" s="11" t="inlineStr">
        <is>
          <t>Supplier ID</t>
        </is>
      </c>
      <c r="B5" s="11" t="inlineStr">
        <is>
          <t>Supplier</t>
        </is>
      </c>
      <c r="C5" s="11" t="inlineStr">
        <is>
          <t>City</t>
        </is>
      </c>
      <c r="D5" s="11" t="inlineStr">
        <is>
          <t>PO lines</t>
        </is>
      </c>
      <c r="E5" s="11" t="inlineStr">
        <is>
          <t>Purchase value</t>
        </is>
      </c>
      <c r="F5" s="11" t="inlineStr">
        <is>
          <t>Avg lead time (days)</t>
        </is>
      </c>
      <c r="G5" s="11" t="inlineStr">
        <is>
          <t>Agreed lead time</t>
        </is>
      </c>
      <c r="H5" s="11" t="inlineStr">
        <is>
          <t>% fulfilled</t>
        </is>
      </c>
    </row>
    <row r="6">
      <c r="A6" s="22" t="inlineStr">
        <is>
          <t>SUP-002</t>
        </is>
      </c>
      <c r="B6" s="22" t="inlineStr">
        <is>
          <t>Muller &amp; Phipps Pakistan</t>
        </is>
      </c>
      <c r="C6" s="22" t="inlineStr">
        <is>
          <t>Karachi</t>
        </is>
      </c>
      <c r="D6" s="23" t="n">
        <v>2317</v>
      </c>
      <c r="E6" s="23" t="n">
        <v>69475736.86</v>
      </c>
      <c r="F6" s="23" t="n">
        <v>28</v>
      </c>
      <c r="G6" s="23" t="n">
        <v>28</v>
      </c>
      <c r="H6" s="31" t="n">
        <v>1</v>
      </c>
    </row>
    <row r="7">
      <c r="A7" s="22" t="inlineStr">
        <is>
          <t>SUP-008</t>
        </is>
      </c>
      <c r="B7" s="22" t="inlineStr">
        <is>
          <t>Medisure Distributors</t>
        </is>
      </c>
      <c r="C7" s="22" t="inlineStr">
        <is>
          <t>Karachi</t>
        </is>
      </c>
      <c r="D7" s="23" t="n">
        <v>2728</v>
      </c>
      <c r="E7" s="23" t="n">
        <v>49294883.9</v>
      </c>
      <c r="F7" s="23" t="n">
        <v>22</v>
      </c>
      <c r="G7" s="23" t="n">
        <v>22</v>
      </c>
      <c r="H7" s="31" t="n">
        <v>1</v>
      </c>
    </row>
    <row r="8">
      <c r="A8" s="22" t="inlineStr">
        <is>
          <t>SUP-010</t>
        </is>
      </c>
      <c r="B8" s="22" t="inlineStr">
        <is>
          <t>NutriCare Importers</t>
        </is>
      </c>
      <c r="C8" s="22" t="inlineStr">
        <is>
          <t>Karachi</t>
        </is>
      </c>
      <c r="D8" s="23" t="n">
        <v>541</v>
      </c>
      <c r="E8" s="23" t="n">
        <v>44714971.52</v>
      </c>
      <c r="F8" s="23" t="n">
        <v>55</v>
      </c>
      <c r="G8" s="23" t="n">
        <v>55</v>
      </c>
      <c r="H8" s="31" t="n">
        <v>1</v>
      </c>
    </row>
    <row r="9">
      <c r="A9" s="22" t="inlineStr">
        <is>
          <t>SUP-007</t>
        </is>
      </c>
      <c r="B9" s="22" t="inlineStr">
        <is>
          <t>Surgimed Pakistan</t>
        </is>
      </c>
      <c r="C9" s="22" t="inlineStr">
        <is>
          <t>Karachi</t>
        </is>
      </c>
      <c r="D9" s="23" t="n">
        <v>1175</v>
      </c>
      <c r="E9" s="23" t="n">
        <v>30096220.93</v>
      </c>
      <c r="F9" s="23" t="n">
        <v>18</v>
      </c>
      <c r="G9" s="23" t="n">
        <v>18</v>
      </c>
      <c r="H9" s="31" t="n">
        <v>1</v>
      </c>
    </row>
    <row r="10">
      <c r="A10" s="22" t="inlineStr">
        <is>
          <t>SUP-003</t>
        </is>
      </c>
      <c r="B10" s="22" t="inlineStr">
        <is>
          <t>Searle Pakistan Ltd</t>
        </is>
      </c>
      <c r="C10" s="22" t="inlineStr">
        <is>
          <t>Karachi</t>
        </is>
      </c>
      <c r="D10" s="23" t="n">
        <v>1196</v>
      </c>
      <c r="E10" s="23" t="n">
        <v>27090582.27</v>
      </c>
      <c r="F10" s="23" t="n">
        <v>24</v>
      </c>
      <c r="G10" s="23" t="n">
        <v>24</v>
      </c>
      <c r="H10" s="31" t="n">
        <v>1</v>
      </c>
    </row>
    <row r="11">
      <c r="A11" s="22" t="inlineStr">
        <is>
          <t>SUP-005</t>
        </is>
      </c>
      <c r="B11" s="22" t="inlineStr">
        <is>
          <t>AGP Limited</t>
        </is>
      </c>
      <c r="C11" s="22" t="inlineStr">
        <is>
          <t>Karachi</t>
        </is>
      </c>
      <c r="D11" s="23" t="n">
        <v>1056</v>
      </c>
      <c r="E11" s="23" t="n">
        <v>18548807.31</v>
      </c>
      <c r="F11" s="23" t="n">
        <v>26</v>
      </c>
      <c r="G11" s="23" t="n">
        <v>26</v>
      </c>
      <c r="H11" s="31" t="n">
        <v>1</v>
      </c>
    </row>
    <row r="12">
      <c r="A12" s="22" t="inlineStr">
        <is>
          <t>SUP-001</t>
        </is>
      </c>
      <c r="B12" s="22" t="inlineStr">
        <is>
          <t>Getz Pharma (Pvt) Ltd</t>
        </is>
      </c>
      <c r="C12" s="22" t="inlineStr">
        <is>
          <t>Karachi</t>
        </is>
      </c>
      <c r="D12" s="23" t="n">
        <v>1210</v>
      </c>
      <c r="E12" s="23" t="n">
        <v>17608256.74</v>
      </c>
      <c r="F12" s="23" t="n">
        <v>21</v>
      </c>
      <c r="G12" s="23" t="n">
        <v>21</v>
      </c>
      <c r="H12" s="31" t="n">
        <v>1</v>
      </c>
    </row>
    <row r="13">
      <c r="A13" s="22" t="inlineStr">
        <is>
          <t>SUP-009</t>
        </is>
      </c>
      <c r="B13" s="22" t="inlineStr">
        <is>
          <t>Lab Sciences &amp; Services</t>
        </is>
      </c>
      <c r="C13" s="22" t="inlineStr">
        <is>
          <t>Karachi</t>
        </is>
      </c>
      <c r="D13" s="23" t="n">
        <v>682</v>
      </c>
      <c r="E13" s="23" t="n">
        <v>14614350.74</v>
      </c>
      <c r="F13" s="23" t="n">
        <v>30</v>
      </c>
      <c r="G13" s="23" t="n">
        <v>30</v>
      </c>
      <c r="H13" s="31" t="n">
        <v>1</v>
      </c>
    </row>
    <row r="14">
      <c r="A14" s="22" t="inlineStr">
        <is>
          <t>SUP-004</t>
        </is>
      </c>
      <c r="B14" s="22" t="inlineStr">
        <is>
          <t>Highnoon Laboratories Ltd</t>
        </is>
      </c>
      <c r="C14" s="22" t="inlineStr">
        <is>
          <t>Lahore</t>
        </is>
      </c>
      <c r="D14" s="23" t="n">
        <v>859</v>
      </c>
      <c r="E14" s="23" t="n">
        <v>12729449.78</v>
      </c>
      <c r="F14" s="23" t="n">
        <v>35</v>
      </c>
      <c r="G14" s="23" t="n">
        <v>35</v>
      </c>
      <c r="H14" s="31" t="n">
        <v>1</v>
      </c>
    </row>
    <row r="15">
      <c r="A15" s="22" t="inlineStr">
        <is>
          <t>SUP-006</t>
        </is>
      </c>
      <c r="B15" s="22" t="inlineStr">
        <is>
          <t>Ferozsons Laboratories Ltd</t>
        </is>
      </c>
      <c r="C15" s="22" t="inlineStr">
        <is>
          <t>Rawalpindi</t>
        </is>
      </c>
      <c r="D15" s="23" t="n">
        <v>988</v>
      </c>
      <c r="E15" s="23" t="n">
        <v>11197827.49</v>
      </c>
      <c r="F15" s="23" t="n">
        <v>38</v>
      </c>
      <c r="G15" s="23" t="n">
        <v>38</v>
      </c>
      <c r="H15" s="31" t="n">
        <v>1</v>
      </c>
    </row>
    <row r="16">
      <c r="A16" s="22" t="inlineStr">
        <is>
          <t>SUP-011</t>
        </is>
      </c>
      <c r="B16" s="22" t="inlineStr">
        <is>
          <t>Al-Hamd Traders (General Items)</t>
        </is>
      </c>
      <c r="C16" s="22" t="inlineStr">
        <is>
          <t>Karachi</t>
        </is>
      </c>
      <c r="D16" s="23" t="n">
        <v>499</v>
      </c>
      <c r="E16" s="23" t="n">
        <v>5438646.15</v>
      </c>
      <c r="F16" s="23" t="n">
        <v>12</v>
      </c>
      <c r="G16" s="23" t="n">
        <v>12</v>
      </c>
      <c r="H16" s="31" t="n">
        <v>1</v>
      </c>
    </row>
    <row r="17">
      <c r="A17" s="22" t="inlineStr">
        <is>
          <t>SUP-012</t>
        </is>
      </c>
      <c r="B17" s="22" t="inlineStr">
        <is>
          <t>Pakistan Medical Equipment Co.</t>
        </is>
      </c>
      <c r="C17" s="22" t="inlineStr">
        <is>
          <t>Islamabad</t>
        </is>
      </c>
      <c r="D17" s="23" t="n">
        <v>5</v>
      </c>
      <c r="E17" s="23" t="n">
        <v>35325.91</v>
      </c>
      <c r="F17" s="23" t="n">
        <v>42</v>
      </c>
      <c r="G17" s="23" t="n">
        <v>42</v>
      </c>
      <c r="H17" s="31" t="n">
        <v>1</v>
      </c>
    </row>
    <row r="18">
      <c r="A18" s="26" t="inlineStr"/>
      <c r="B18" s="26" t="inlineStr">
        <is>
          <t>TOTAL</t>
        </is>
      </c>
      <c r="C18" s="26" t="inlineStr"/>
      <c r="D18" s="27" t="n">
        <v>13256</v>
      </c>
      <c r="E18" s="27" t="n">
        <v>300845059.6</v>
      </c>
      <c r="F18" s="26" t="inlineStr"/>
      <c r="G18" s="26" t="inlineStr"/>
      <c r="H18" s="26" t="inlineStr"/>
    </row>
  </sheetData>
  <mergeCells count="1">
    <mergeCell ref="A2:H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2B7B2"/>
    <outlinePr summaryBelow="1" summaryRight="1"/>
    <pageSetUpPr/>
  </sheetPr>
  <dimension ref="A1:H234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Cost per Beneficiary and per Visit</t>
        </is>
      </c>
    </row>
    <row r="2">
      <c r="A2" s="2" t="inlineStr">
        <is>
          <t>Product consumption value divided by programme service counts for the same project and month.</t>
        </is>
      </c>
    </row>
    <row r="3" ht="6" customHeight="1"/>
    <row r="5" ht="30" customHeight="1">
      <c r="A5" s="11" t="inlineStr">
        <is>
          <t>Project ID</t>
        </is>
      </c>
      <c r="B5" s="11" t="inlineStr">
        <is>
          <t>Project</t>
        </is>
      </c>
      <c r="C5" s="11" t="inlineStr">
        <is>
          <t>Month</t>
        </is>
      </c>
      <c r="D5" s="11" t="inlineStr">
        <is>
          <t>Consumption value</t>
        </is>
      </c>
      <c r="E5" s="11" t="inlineStr">
        <is>
          <t>Beneficiaries</t>
        </is>
      </c>
      <c r="F5" s="11" t="inlineStr">
        <is>
          <t>Cost per beneficiary</t>
        </is>
      </c>
      <c r="G5" s="11" t="inlineStr">
        <is>
          <t>Patient visits</t>
        </is>
      </c>
      <c r="H5" s="11" t="inlineStr">
        <is>
          <t>Cost per visit</t>
        </is>
      </c>
    </row>
    <row r="6">
      <c r="A6" s="22" t="inlineStr">
        <is>
          <t>PRJ-001</t>
        </is>
      </c>
      <c r="B6" s="22" t="inlineStr">
        <is>
          <t>Maternal &amp; Child Health Programme - Korangi</t>
        </is>
      </c>
      <c r="C6" s="22" t="inlineStr">
        <is>
          <t>Jul-2024</t>
        </is>
      </c>
      <c r="D6" s="23" t="n">
        <v>1916157.95</v>
      </c>
      <c r="E6" s="23" t="n">
        <v>4726</v>
      </c>
      <c r="F6" s="25" t="n">
        <v>405.45</v>
      </c>
      <c r="G6" s="23" t="n">
        <v>8260</v>
      </c>
      <c r="H6" s="25" t="n">
        <v>231.98</v>
      </c>
    </row>
    <row r="7">
      <c r="A7" s="22" t="inlineStr">
        <is>
          <t>PRJ-001</t>
        </is>
      </c>
      <c r="B7" s="22" t="inlineStr">
        <is>
          <t>Maternal &amp; Child Health Programme - Korangi</t>
        </is>
      </c>
      <c r="C7" s="22" t="inlineStr">
        <is>
          <t>Aug-2024</t>
        </is>
      </c>
      <c r="D7" s="23" t="n">
        <v>2197194.7</v>
      </c>
      <c r="E7" s="23" t="n">
        <v>4445</v>
      </c>
      <c r="F7" s="25" t="n">
        <v>494.31</v>
      </c>
      <c r="G7" s="23" t="n">
        <v>10009</v>
      </c>
      <c r="H7" s="25" t="n">
        <v>219.52</v>
      </c>
    </row>
    <row r="8">
      <c r="A8" s="22" t="inlineStr">
        <is>
          <t>PRJ-001</t>
        </is>
      </c>
      <c r="B8" s="22" t="inlineStr">
        <is>
          <t>Maternal &amp; Child Health Programme - Korangi</t>
        </is>
      </c>
      <c r="C8" s="22" t="inlineStr">
        <is>
          <t>Sep-2024</t>
        </is>
      </c>
      <c r="D8" s="23" t="n">
        <v>2301296.63</v>
      </c>
      <c r="E8" s="23" t="n">
        <v>5204</v>
      </c>
      <c r="F8" s="25" t="n">
        <v>442.22</v>
      </c>
      <c r="G8" s="23" t="n">
        <v>8156</v>
      </c>
      <c r="H8" s="25" t="n">
        <v>282.16</v>
      </c>
    </row>
    <row r="9">
      <c r="A9" s="22" t="inlineStr">
        <is>
          <t>PRJ-001</t>
        </is>
      </c>
      <c r="B9" s="22" t="inlineStr">
        <is>
          <t>Maternal &amp; Child Health Programme - Korangi</t>
        </is>
      </c>
      <c r="C9" s="22" t="inlineStr">
        <is>
          <t>Oct-2024</t>
        </is>
      </c>
      <c r="D9" s="23" t="n">
        <v>2012160.67</v>
      </c>
      <c r="E9" s="23" t="n">
        <v>4404</v>
      </c>
      <c r="F9" s="25" t="n">
        <v>456.89</v>
      </c>
      <c r="G9" s="23" t="n">
        <v>8405</v>
      </c>
      <c r="H9" s="25" t="n">
        <v>239.4</v>
      </c>
    </row>
    <row r="10">
      <c r="A10" s="22" t="inlineStr">
        <is>
          <t>PRJ-001</t>
        </is>
      </c>
      <c r="B10" s="22" t="inlineStr">
        <is>
          <t>Maternal &amp; Child Health Programme - Korangi</t>
        </is>
      </c>
      <c r="C10" s="22" t="inlineStr">
        <is>
          <t>Nov-2024</t>
        </is>
      </c>
      <c r="D10" s="23" t="n">
        <v>1777086.04</v>
      </c>
      <c r="E10" s="23" t="n">
        <v>4632</v>
      </c>
      <c r="F10" s="25" t="n">
        <v>383.65</v>
      </c>
      <c r="G10" s="23" t="n">
        <v>9236</v>
      </c>
      <c r="H10" s="25" t="n">
        <v>192.41</v>
      </c>
    </row>
    <row r="11">
      <c r="A11" s="22" t="inlineStr">
        <is>
          <t>PRJ-001</t>
        </is>
      </c>
      <c r="B11" s="22" t="inlineStr">
        <is>
          <t>Maternal &amp; Child Health Programme - Korangi</t>
        </is>
      </c>
      <c r="C11" s="22" t="inlineStr">
        <is>
          <t>Dec-2024</t>
        </is>
      </c>
      <c r="D11" s="23" t="n">
        <v>1836095.58</v>
      </c>
      <c r="E11" s="23" t="n">
        <v>4923</v>
      </c>
      <c r="F11" s="25" t="n">
        <v>372.96</v>
      </c>
      <c r="G11" s="23" t="n">
        <v>8129</v>
      </c>
      <c r="H11" s="25" t="n">
        <v>225.87</v>
      </c>
    </row>
    <row r="12">
      <c r="A12" s="22" t="inlineStr">
        <is>
          <t>PRJ-001</t>
        </is>
      </c>
      <c r="B12" s="22" t="inlineStr">
        <is>
          <t>Maternal &amp; Child Health Programme - Korangi</t>
        </is>
      </c>
      <c r="C12" s="22" t="inlineStr">
        <is>
          <t>Jan-2025</t>
        </is>
      </c>
      <c r="D12" s="23" t="n">
        <v>2708004.05</v>
      </c>
      <c r="E12" s="23" t="n">
        <v>4596</v>
      </c>
      <c r="F12" s="25" t="n">
        <v>589.21</v>
      </c>
      <c r="G12" s="23" t="n">
        <v>7200</v>
      </c>
      <c r="H12" s="25" t="n">
        <v>376.11</v>
      </c>
    </row>
    <row r="13">
      <c r="A13" s="22" t="inlineStr">
        <is>
          <t>PRJ-001</t>
        </is>
      </c>
      <c r="B13" s="22" t="inlineStr">
        <is>
          <t>Maternal &amp; Child Health Programme - Korangi</t>
        </is>
      </c>
      <c r="C13" s="22" t="inlineStr">
        <is>
          <t>Feb-2025</t>
        </is>
      </c>
      <c r="D13" s="23" t="n">
        <v>2037567.87</v>
      </c>
      <c r="E13" s="23" t="n">
        <v>4549</v>
      </c>
      <c r="F13" s="25" t="n">
        <v>447.92</v>
      </c>
      <c r="G13" s="23" t="n">
        <v>9776</v>
      </c>
      <c r="H13" s="25" t="n">
        <v>208.43</v>
      </c>
    </row>
    <row r="14">
      <c r="A14" s="22" t="inlineStr">
        <is>
          <t>PRJ-001</t>
        </is>
      </c>
      <c r="B14" s="22" t="inlineStr">
        <is>
          <t>Maternal &amp; Child Health Programme - Korangi</t>
        </is>
      </c>
      <c r="C14" s="22" t="inlineStr">
        <is>
          <t>Mar-2025</t>
        </is>
      </c>
      <c r="D14" s="23" t="n">
        <v>1911424.37</v>
      </c>
      <c r="E14" s="23" t="n">
        <v>3641</v>
      </c>
      <c r="F14" s="25" t="n">
        <v>524.97</v>
      </c>
      <c r="G14" s="23" t="n">
        <v>6124</v>
      </c>
      <c r="H14" s="25" t="n">
        <v>312.12</v>
      </c>
    </row>
    <row r="15">
      <c r="A15" s="22" t="inlineStr">
        <is>
          <t>PRJ-001</t>
        </is>
      </c>
      <c r="B15" s="22" t="inlineStr">
        <is>
          <t>Maternal &amp; Child Health Programme - Korangi</t>
        </is>
      </c>
      <c r="C15" s="22" t="inlineStr">
        <is>
          <t>Apr-2025</t>
        </is>
      </c>
      <c r="D15" s="23" t="n">
        <v>1785825.2</v>
      </c>
      <c r="E15" s="23" t="n">
        <v>5283</v>
      </c>
      <c r="F15" s="25" t="n">
        <v>338.03</v>
      </c>
      <c r="G15" s="23" t="n">
        <v>7537</v>
      </c>
      <c r="H15" s="25" t="n">
        <v>236.94</v>
      </c>
    </row>
    <row r="16">
      <c r="A16" s="22" t="inlineStr">
        <is>
          <t>PRJ-001</t>
        </is>
      </c>
      <c r="B16" s="22" t="inlineStr">
        <is>
          <t>Maternal &amp; Child Health Programme - Korangi</t>
        </is>
      </c>
      <c r="C16" s="22" t="inlineStr">
        <is>
          <t>May-2025</t>
        </is>
      </c>
      <c r="D16" s="23" t="n">
        <v>1634593.32</v>
      </c>
      <c r="E16" s="23" t="n">
        <v>5560</v>
      </c>
      <c r="F16" s="25" t="n">
        <v>293.99</v>
      </c>
      <c r="G16" s="23" t="n">
        <v>10773</v>
      </c>
      <c r="H16" s="25" t="n">
        <v>151.73</v>
      </c>
    </row>
    <row r="17">
      <c r="A17" s="22" t="inlineStr">
        <is>
          <t>PRJ-001</t>
        </is>
      </c>
      <c r="B17" s="22" t="inlineStr">
        <is>
          <t>Maternal &amp; Child Health Programme - Korangi</t>
        </is>
      </c>
      <c r="C17" s="22" t="inlineStr">
        <is>
          <t>Jun-2025</t>
        </is>
      </c>
      <c r="D17" s="23" t="n">
        <v>1866018.02</v>
      </c>
      <c r="E17" s="23" t="n">
        <v>4353</v>
      </c>
      <c r="F17" s="25" t="n">
        <v>428.67</v>
      </c>
      <c r="G17" s="23" t="n">
        <v>8342</v>
      </c>
      <c r="H17" s="25" t="n">
        <v>223.69</v>
      </c>
    </row>
    <row r="18">
      <c r="A18" s="22" t="inlineStr">
        <is>
          <t>PRJ-001</t>
        </is>
      </c>
      <c r="B18" s="22" t="inlineStr">
        <is>
          <t>Maternal &amp; Child Health Programme - Korangi</t>
        </is>
      </c>
      <c r="C18" s="22" t="inlineStr">
        <is>
          <t>Jul-2025</t>
        </is>
      </c>
      <c r="D18" s="23" t="n">
        <v>2372382.79</v>
      </c>
      <c r="E18" s="23" t="n">
        <v>3930</v>
      </c>
      <c r="F18" s="25" t="n">
        <v>603.66</v>
      </c>
      <c r="G18" s="23" t="n">
        <v>7517</v>
      </c>
      <c r="H18" s="25" t="n">
        <v>315.6</v>
      </c>
    </row>
    <row r="19">
      <c r="A19" s="22" t="inlineStr">
        <is>
          <t>PRJ-001</t>
        </is>
      </c>
      <c r="B19" s="22" t="inlineStr">
        <is>
          <t>Maternal &amp; Child Health Programme - Korangi</t>
        </is>
      </c>
      <c r="C19" s="22" t="inlineStr">
        <is>
          <t>Aug-2025</t>
        </is>
      </c>
      <c r="D19" s="23" t="n">
        <v>2691934.11</v>
      </c>
      <c r="E19" s="23" t="n">
        <v>5857</v>
      </c>
      <c r="F19" s="25" t="n">
        <v>459.61</v>
      </c>
      <c r="G19" s="23" t="n">
        <v>12488</v>
      </c>
      <c r="H19" s="25" t="n">
        <v>215.56</v>
      </c>
    </row>
    <row r="20">
      <c r="A20" s="22" t="inlineStr">
        <is>
          <t>PRJ-001</t>
        </is>
      </c>
      <c r="B20" s="22" t="inlineStr">
        <is>
          <t>Maternal &amp; Child Health Programme - Korangi</t>
        </is>
      </c>
      <c r="C20" s="22" t="inlineStr">
        <is>
          <t>Sep-2025</t>
        </is>
      </c>
      <c r="D20" s="23" t="n">
        <v>2800452.92</v>
      </c>
      <c r="E20" s="23" t="n">
        <v>6488</v>
      </c>
      <c r="F20" s="25" t="n">
        <v>431.64</v>
      </c>
      <c r="G20" s="23" t="n">
        <v>11413</v>
      </c>
      <c r="H20" s="25" t="n">
        <v>245.37</v>
      </c>
    </row>
    <row r="21">
      <c r="A21" s="22" t="inlineStr">
        <is>
          <t>PRJ-001</t>
        </is>
      </c>
      <c r="B21" s="22" t="inlineStr">
        <is>
          <t>Maternal &amp; Child Health Programme - Korangi</t>
        </is>
      </c>
      <c r="C21" s="22" t="inlineStr">
        <is>
          <t>Oct-2025</t>
        </is>
      </c>
      <c r="D21" s="23" t="n">
        <v>2412867.03</v>
      </c>
      <c r="E21" s="23" t="n">
        <v>5569</v>
      </c>
      <c r="F21" s="25" t="n">
        <v>433.27</v>
      </c>
      <c r="G21" s="23" t="n">
        <v>8898</v>
      </c>
      <c r="H21" s="25" t="n">
        <v>271.17</v>
      </c>
    </row>
    <row r="22">
      <c r="A22" s="22" t="inlineStr">
        <is>
          <t>PRJ-001</t>
        </is>
      </c>
      <c r="B22" s="22" t="inlineStr">
        <is>
          <t>Maternal &amp; Child Health Programme - Korangi</t>
        </is>
      </c>
      <c r="C22" s="22" t="inlineStr">
        <is>
          <t>Nov-2025</t>
        </is>
      </c>
      <c r="D22" s="23" t="n">
        <v>2007755.13</v>
      </c>
      <c r="E22" s="23" t="n">
        <v>4516</v>
      </c>
      <c r="F22" s="25" t="n">
        <v>444.59</v>
      </c>
      <c r="G22" s="23" t="n">
        <v>9908</v>
      </c>
      <c r="H22" s="25" t="n">
        <v>202.64</v>
      </c>
    </row>
    <row r="23">
      <c r="A23" s="22" t="inlineStr">
        <is>
          <t>PRJ-001</t>
        </is>
      </c>
      <c r="B23" s="22" t="inlineStr">
        <is>
          <t>Maternal &amp; Child Health Programme - Korangi</t>
        </is>
      </c>
      <c r="C23" s="22" t="inlineStr">
        <is>
          <t>Dec-2025</t>
        </is>
      </c>
      <c r="D23" s="23" t="n">
        <v>2240673.53</v>
      </c>
      <c r="E23" s="23" t="n">
        <v>5482</v>
      </c>
      <c r="F23" s="25" t="n">
        <v>408.73</v>
      </c>
      <c r="G23" s="23" t="n">
        <v>8574</v>
      </c>
      <c r="H23" s="25" t="n">
        <v>261.33</v>
      </c>
    </row>
    <row r="24">
      <c r="A24" s="22" t="inlineStr">
        <is>
          <t>PRJ-001</t>
        </is>
      </c>
      <c r="B24" s="22" t="inlineStr">
        <is>
          <t>Maternal &amp; Child Health Programme - Korangi</t>
        </is>
      </c>
      <c r="C24" s="22" t="inlineStr">
        <is>
          <t>Jan-2026</t>
        </is>
      </c>
      <c r="D24" s="23" t="n">
        <v>2999538.35</v>
      </c>
      <c r="E24" s="23" t="n">
        <v>4304</v>
      </c>
      <c r="F24" s="25" t="n">
        <v>696.92</v>
      </c>
      <c r="G24" s="23" t="n">
        <v>6237</v>
      </c>
      <c r="H24" s="25" t="n">
        <v>480.93</v>
      </c>
    </row>
    <row r="25">
      <c r="A25" s="22" t="inlineStr">
        <is>
          <t>PRJ-001</t>
        </is>
      </c>
      <c r="B25" s="22" t="inlineStr">
        <is>
          <t>Maternal &amp; Child Health Programme - Korangi</t>
        </is>
      </c>
      <c r="C25" s="22" t="inlineStr">
        <is>
          <t>Feb-2026</t>
        </is>
      </c>
      <c r="D25" s="23" t="n">
        <v>2583003.46</v>
      </c>
      <c r="E25" s="23" t="n">
        <v>4763</v>
      </c>
      <c r="F25" s="25" t="n">
        <v>542.3099999999999</v>
      </c>
      <c r="G25" s="23" t="n">
        <v>9405</v>
      </c>
      <c r="H25" s="25" t="n">
        <v>274.64</v>
      </c>
    </row>
    <row r="26">
      <c r="A26" s="22" t="inlineStr">
        <is>
          <t>PRJ-001</t>
        </is>
      </c>
      <c r="B26" s="22" t="inlineStr">
        <is>
          <t>Maternal &amp; Child Health Programme - Korangi</t>
        </is>
      </c>
      <c r="C26" s="22" t="inlineStr">
        <is>
          <t>Mar-2026</t>
        </is>
      </c>
      <c r="D26" s="23" t="n">
        <v>1754850.43</v>
      </c>
      <c r="E26" s="23" t="n">
        <v>3301</v>
      </c>
      <c r="F26" s="25" t="n">
        <v>531.61</v>
      </c>
      <c r="G26" s="23" t="n">
        <v>5743</v>
      </c>
      <c r="H26" s="25" t="n">
        <v>305.56</v>
      </c>
    </row>
    <row r="27">
      <c r="A27" s="22" t="inlineStr">
        <is>
          <t>PRJ-001</t>
        </is>
      </c>
      <c r="B27" s="22" t="inlineStr">
        <is>
          <t>Maternal &amp; Child Health Programme - Korangi</t>
        </is>
      </c>
      <c r="C27" s="22" t="inlineStr">
        <is>
          <t>Apr-2026</t>
        </is>
      </c>
      <c r="D27" s="23" t="n">
        <v>2146615.52</v>
      </c>
      <c r="E27" s="23" t="n">
        <v>5426</v>
      </c>
      <c r="F27" s="25" t="n">
        <v>395.62</v>
      </c>
      <c r="G27" s="23" t="n">
        <v>7951</v>
      </c>
      <c r="H27" s="25" t="n">
        <v>269.98</v>
      </c>
    </row>
    <row r="28">
      <c r="A28" s="22" t="inlineStr">
        <is>
          <t>PRJ-001</t>
        </is>
      </c>
      <c r="B28" s="22" t="inlineStr">
        <is>
          <t>Maternal &amp; Child Health Programme - Korangi</t>
        </is>
      </c>
      <c r="C28" s="22" t="inlineStr">
        <is>
          <t>May-2026</t>
        </is>
      </c>
      <c r="D28" s="23" t="n">
        <v>1890191.78</v>
      </c>
      <c r="E28" s="23" t="n">
        <v>3877</v>
      </c>
      <c r="F28" s="25" t="n">
        <v>487.54</v>
      </c>
      <c r="G28" s="23" t="n">
        <v>7131</v>
      </c>
      <c r="H28" s="25" t="n">
        <v>265.07</v>
      </c>
    </row>
    <row r="29">
      <c r="A29" s="22" t="inlineStr">
        <is>
          <t>PRJ-001</t>
        </is>
      </c>
      <c r="B29" s="22" t="inlineStr">
        <is>
          <t>Maternal &amp; Child Health Programme - Korangi</t>
        </is>
      </c>
      <c r="C29" s="22" t="inlineStr">
        <is>
          <t>Jun-2026</t>
        </is>
      </c>
      <c r="D29" s="23" t="n">
        <v>2230968.81</v>
      </c>
      <c r="E29" s="23" t="n">
        <v>4654</v>
      </c>
      <c r="F29" s="25" t="n">
        <v>479.37</v>
      </c>
      <c r="G29" s="23" t="n">
        <v>9948</v>
      </c>
      <c r="H29" s="25" t="n">
        <v>224.26</v>
      </c>
    </row>
    <row r="30">
      <c r="A30" s="22" t="inlineStr">
        <is>
          <t>PRJ-001</t>
        </is>
      </c>
      <c r="B30" s="22" t="inlineStr">
        <is>
          <t>Maternal &amp; Child Health Programme - Korangi</t>
        </is>
      </c>
      <c r="C30" s="22" t="inlineStr">
        <is>
          <t>Jul-2026</t>
        </is>
      </c>
      <c r="D30" s="23" t="n">
        <v>2900612.31</v>
      </c>
      <c r="E30" s="23" t="n">
        <v>4335</v>
      </c>
      <c r="F30" s="25" t="n">
        <v>669.11</v>
      </c>
      <c r="G30" s="23" t="n">
        <v>7454</v>
      </c>
      <c r="H30" s="25" t="n">
        <v>389.14</v>
      </c>
    </row>
    <row r="31">
      <c r="A31" s="22" t="inlineStr">
        <is>
          <t>PRJ-001</t>
        </is>
      </c>
      <c r="B31" s="22" t="inlineStr">
        <is>
          <t>Maternal &amp; Child Health Programme - Korangi</t>
        </is>
      </c>
      <c r="C31" s="22" t="inlineStr">
        <is>
          <t>Aug-2026</t>
        </is>
      </c>
      <c r="D31" s="23" t="n">
        <v>2882649.8</v>
      </c>
      <c r="E31" s="23" t="n">
        <v>6007</v>
      </c>
      <c r="F31" s="25" t="n">
        <v>479.88</v>
      </c>
      <c r="G31" s="23" t="n">
        <v>12629</v>
      </c>
      <c r="H31" s="25" t="n">
        <v>228.26</v>
      </c>
    </row>
    <row r="32">
      <c r="A32" s="22" t="inlineStr">
        <is>
          <t>PRJ-001</t>
        </is>
      </c>
      <c r="B32" s="22" t="inlineStr">
        <is>
          <t>Maternal &amp; Child Health Programme - Korangi</t>
        </is>
      </c>
      <c r="C32" s="22" t="inlineStr">
        <is>
          <t>Sep-2026</t>
        </is>
      </c>
      <c r="D32" s="23" t="n">
        <v>2717356.84</v>
      </c>
      <c r="E32" s="23" t="n">
        <v>6154</v>
      </c>
      <c r="F32" s="25" t="n">
        <v>441.56</v>
      </c>
      <c r="G32" s="23" t="n">
        <v>9249</v>
      </c>
      <c r="H32" s="25" t="n">
        <v>293.8</v>
      </c>
    </row>
    <row r="33">
      <c r="A33" s="22" t="inlineStr">
        <is>
          <t>PRJ-002</t>
        </is>
      </c>
      <c r="B33" s="22" t="inlineStr">
        <is>
          <t>Nutrition Stabilisation Centre - Malir</t>
        </is>
      </c>
      <c r="C33" s="22" t="inlineStr">
        <is>
          <t>Jul-2024</t>
        </is>
      </c>
      <c r="D33" s="23" t="n">
        <v>1294110.34</v>
      </c>
      <c r="E33" s="23" t="n">
        <v>3291</v>
      </c>
      <c r="F33" s="25" t="n">
        <v>393.23</v>
      </c>
      <c r="G33" s="23" t="n">
        <v>5817</v>
      </c>
      <c r="H33" s="25" t="n">
        <v>222.47</v>
      </c>
    </row>
    <row r="34">
      <c r="A34" s="22" t="inlineStr">
        <is>
          <t>PRJ-002</t>
        </is>
      </c>
      <c r="B34" s="22" t="inlineStr">
        <is>
          <t>Nutrition Stabilisation Centre - Malir</t>
        </is>
      </c>
      <c r="C34" s="22" t="inlineStr">
        <is>
          <t>Aug-2024</t>
        </is>
      </c>
      <c r="D34" s="23" t="n">
        <v>1748400.3</v>
      </c>
      <c r="E34" s="23" t="n">
        <v>3211</v>
      </c>
      <c r="F34" s="25" t="n">
        <v>544.5</v>
      </c>
      <c r="G34" s="23" t="n">
        <v>6580</v>
      </c>
      <c r="H34" s="25" t="n">
        <v>265.71</v>
      </c>
    </row>
    <row r="35">
      <c r="A35" s="22" t="inlineStr">
        <is>
          <t>PRJ-002</t>
        </is>
      </c>
      <c r="B35" s="22" t="inlineStr">
        <is>
          <t>Nutrition Stabilisation Centre - Malir</t>
        </is>
      </c>
      <c r="C35" s="22" t="inlineStr">
        <is>
          <t>Sep-2024</t>
        </is>
      </c>
      <c r="D35" s="23" t="n">
        <v>1620298.72</v>
      </c>
      <c r="E35" s="23" t="n">
        <v>3565</v>
      </c>
      <c r="F35" s="25" t="n">
        <v>454.5</v>
      </c>
      <c r="G35" s="23" t="n">
        <v>7494</v>
      </c>
      <c r="H35" s="25" t="n">
        <v>216.21</v>
      </c>
    </row>
    <row r="36">
      <c r="A36" s="22" t="inlineStr">
        <is>
          <t>PRJ-002</t>
        </is>
      </c>
      <c r="B36" s="22" t="inlineStr">
        <is>
          <t>Nutrition Stabilisation Centre - Malir</t>
        </is>
      </c>
      <c r="C36" s="22" t="inlineStr">
        <is>
          <t>Oct-2024</t>
        </is>
      </c>
      <c r="D36" s="23" t="n">
        <v>1603522.44</v>
      </c>
      <c r="E36" s="23" t="n">
        <v>3506</v>
      </c>
      <c r="F36" s="25" t="n">
        <v>457.37</v>
      </c>
      <c r="G36" s="23" t="n">
        <v>7547</v>
      </c>
      <c r="H36" s="25" t="n">
        <v>212.47</v>
      </c>
    </row>
    <row r="37">
      <c r="A37" s="22" t="inlineStr">
        <is>
          <t>PRJ-002</t>
        </is>
      </c>
      <c r="B37" s="22" t="inlineStr">
        <is>
          <t>Nutrition Stabilisation Centre - Malir</t>
        </is>
      </c>
      <c r="C37" s="22" t="inlineStr">
        <is>
          <t>Nov-2024</t>
        </is>
      </c>
      <c r="D37" s="23" t="n">
        <v>1344526.17</v>
      </c>
      <c r="E37" s="23" t="n">
        <v>2841</v>
      </c>
      <c r="F37" s="25" t="n">
        <v>473.26</v>
      </c>
      <c r="G37" s="23" t="n">
        <v>4897</v>
      </c>
      <c r="H37" s="25" t="n">
        <v>274.56</v>
      </c>
    </row>
    <row r="38">
      <c r="A38" s="22" t="inlineStr">
        <is>
          <t>PRJ-002</t>
        </is>
      </c>
      <c r="B38" s="22" t="inlineStr">
        <is>
          <t>Nutrition Stabilisation Centre - Malir</t>
        </is>
      </c>
      <c r="C38" s="22" t="inlineStr">
        <is>
          <t>Dec-2024</t>
        </is>
      </c>
      <c r="D38" s="23" t="n">
        <v>1315884.06</v>
      </c>
      <c r="E38" s="23" t="n">
        <v>2527</v>
      </c>
      <c r="F38" s="25" t="n">
        <v>520.73</v>
      </c>
      <c r="G38" s="23" t="n">
        <v>4176</v>
      </c>
      <c r="H38" s="25" t="n">
        <v>315.11</v>
      </c>
    </row>
    <row r="39">
      <c r="A39" s="22" t="inlineStr">
        <is>
          <t>PRJ-002</t>
        </is>
      </c>
      <c r="B39" s="22" t="inlineStr">
        <is>
          <t>Nutrition Stabilisation Centre - Malir</t>
        </is>
      </c>
      <c r="C39" s="22" t="inlineStr">
        <is>
          <t>Jan-2025</t>
        </is>
      </c>
      <c r="D39" s="23" t="n">
        <v>1925784.29</v>
      </c>
      <c r="E39" s="23" t="n">
        <v>2725</v>
      </c>
      <c r="F39" s="25" t="n">
        <v>706.71</v>
      </c>
      <c r="G39" s="23" t="n">
        <v>3981</v>
      </c>
      <c r="H39" s="25" t="n">
        <v>483.74</v>
      </c>
    </row>
    <row r="40">
      <c r="A40" s="22" t="inlineStr">
        <is>
          <t>PRJ-002</t>
        </is>
      </c>
      <c r="B40" s="22" t="inlineStr">
        <is>
          <t>Nutrition Stabilisation Centre - Malir</t>
        </is>
      </c>
      <c r="C40" s="22" t="inlineStr">
        <is>
          <t>Feb-2025</t>
        </is>
      </c>
      <c r="D40" s="23" t="n">
        <v>1736875.01</v>
      </c>
      <c r="E40" s="23" t="n">
        <v>2669</v>
      </c>
      <c r="F40" s="25" t="n">
        <v>650.76</v>
      </c>
      <c r="G40" s="23" t="n">
        <v>5909</v>
      </c>
      <c r="H40" s="25" t="n">
        <v>293.94</v>
      </c>
    </row>
    <row r="41">
      <c r="A41" s="22" t="inlineStr">
        <is>
          <t>PRJ-002</t>
        </is>
      </c>
      <c r="B41" s="22" t="inlineStr">
        <is>
          <t>Nutrition Stabilisation Centre - Malir</t>
        </is>
      </c>
      <c r="C41" s="22" t="inlineStr">
        <is>
          <t>Mar-2025</t>
        </is>
      </c>
      <c r="D41" s="23" t="n">
        <v>1263223.06</v>
      </c>
      <c r="E41" s="23" t="n">
        <v>2995</v>
      </c>
      <c r="F41" s="25" t="n">
        <v>421.78</v>
      </c>
      <c r="G41" s="23" t="n">
        <v>6599</v>
      </c>
      <c r="H41" s="25" t="n">
        <v>191.43</v>
      </c>
    </row>
    <row r="42">
      <c r="A42" s="22" t="inlineStr">
        <is>
          <t>PRJ-002</t>
        </is>
      </c>
      <c r="B42" s="22" t="inlineStr">
        <is>
          <t>Nutrition Stabilisation Centre - Malir</t>
        </is>
      </c>
      <c r="C42" s="22" t="inlineStr">
        <is>
          <t>Apr-2025</t>
        </is>
      </c>
      <c r="D42" s="23" t="n">
        <v>1282116.33</v>
      </c>
      <c r="E42" s="23" t="n">
        <v>2825</v>
      </c>
      <c r="F42" s="25" t="n">
        <v>453.85</v>
      </c>
      <c r="G42" s="23" t="n">
        <v>4083</v>
      </c>
      <c r="H42" s="25" t="n">
        <v>314.01</v>
      </c>
    </row>
    <row r="43">
      <c r="A43" s="22" t="inlineStr">
        <is>
          <t>PRJ-002</t>
        </is>
      </c>
      <c r="B43" s="22" t="inlineStr">
        <is>
          <t>Nutrition Stabilisation Centre - Malir</t>
        </is>
      </c>
      <c r="C43" s="22" t="inlineStr">
        <is>
          <t>May-2025</t>
        </is>
      </c>
      <c r="D43" s="23" t="n">
        <v>1143615.54</v>
      </c>
      <c r="E43" s="23" t="n">
        <v>3936</v>
      </c>
      <c r="F43" s="25" t="n">
        <v>290.55</v>
      </c>
      <c r="G43" s="23" t="n">
        <v>7996</v>
      </c>
      <c r="H43" s="25" t="n">
        <v>143.02</v>
      </c>
    </row>
    <row r="44">
      <c r="A44" s="22" t="inlineStr">
        <is>
          <t>PRJ-002</t>
        </is>
      </c>
      <c r="B44" s="22" t="inlineStr">
        <is>
          <t>Nutrition Stabilisation Centre - Malir</t>
        </is>
      </c>
      <c r="C44" s="22" t="inlineStr">
        <is>
          <t>Jun-2025</t>
        </is>
      </c>
      <c r="D44" s="23" t="n">
        <v>1306729.2</v>
      </c>
      <c r="E44" s="23" t="n">
        <v>2847</v>
      </c>
      <c r="F44" s="25" t="n">
        <v>458.98</v>
      </c>
      <c r="G44" s="23" t="n">
        <v>4923</v>
      </c>
      <c r="H44" s="25" t="n">
        <v>265.43</v>
      </c>
    </row>
    <row r="45">
      <c r="A45" s="22" t="inlineStr">
        <is>
          <t>PRJ-002</t>
        </is>
      </c>
      <c r="B45" s="22" t="inlineStr">
        <is>
          <t>Nutrition Stabilisation Centre - Malir</t>
        </is>
      </c>
      <c r="C45" s="22" t="inlineStr">
        <is>
          <t>Jul-2025</t>
        </is>
      </c>
      <c r="D45" s="23" t="n">
        <v>1847432.29</v>
      </c>
      <c r="E45" s="23" t="n">
        <v>3074</v>
      </c>
      <c r="F45" s="25" t="n">
        <v>600.99</v>
      </c>
      <c r="G45" s="23" t="n">
        <v>5867</v>
      </c>
      <c r="H45" s="25" t="n">
        <v>314.89</v>
      </c>
    </row>
    <row r="46">
      <c r="A46" s="22" t="inlineStr">
        <is>
          <t>PRJ-002</t>
        </is>
      </c>
      <c r="B46" s="22" t="inlineStr">
        <is>
          <t>Nutrition Stabilisation Centre - Malir</t>
        </is>
      </c>
      <c r="C46" s="22" t="inlineStr">
        <is>
          <t>Aug-2025</t>
        </is>
      </c>
      <c r="D46" s="23" t="n">
        <v>2574726.62</v>
      </c>
      <c r="E46" s="23" t="n">
        <v>4534</v>
      </c>
      <c r="F46" s="25" t="n">
        <v>567.87</v>
      </c>
      <c r="G46" s="23" t="n">
        <v>7339</v>
      </c>
      <c r="H46" s="25" t="n">
        <v>350.83</v>
      </c>
    </row>
    <row r="47">
      <c r="A47" s="22" t="inlineStr">
        <is>
          <t>PRJ-002</t>
        </is>
      </c>
      <c r="B47" s="22" t="inlineStr">
        <is>
          <t>Nutrition Stabilisation Centre - Malir</t>
        </is>
      </c>
      <c r="C47" s="22" t="inlineStr">
        <is>
          <t>Sep-2025</t>
        </is>
      </c>
      <c r="D47" s="23" t="n">
        <v>2596377.78</v>
      </c>
      <c r="E47" s="23" t="n">
        <v>4106</v>
      </c>
      <c r="F47" s="25" t="n">
        <v>632.34</v>
      </c>
      <c r="G47" s="23" t="n">
        <v>6142</v>
      </c>
      <c r="H47" s="25" t="n">
        <v>422.73</v>
      </c>
    </row>
    <row r="48">
      <c r="A48" s="22" t="inlineStr">
        <is>
          <t>PRJ-002</t>
        </is>
      </c>
      <c r="B48" s="22" t="inlineStr">
        <is>
          <t>Nutrition Stabilisation Centre - Malir</t>
        </is>
      </c>
      <c r="C48" s="22" t="inlineStr">
        <is>
          <t>Oct-2025</t>
        </is>
      </c>
      <c r="D48" s="23" t="n">
        <v>1632743.25</v>
      </c>
      <c r="E48" s="23" t="n">
        <v>3401</v>
      </c>
      <c r="F48" s="25" t="n">
        <v>480.08</v>
      </c>
      <c r="G48" s="23" t="n">
        <v>6367</v>
      </c>
      <c r="H48" s="25" t="n">
        <v>256.44</v>
      </c>
    </row>
    <row r="49">
      <c r="A49" s="22" t="inlineStr">
        <is>
          <t>PRJ-002</t>
        </is>
      </c>
      <c r="B49" s="22" t="inlineStr">
        <is>
          <t>Nutrition Stabilisation Centre - Malir</t>
        </is>
      </c>
      <c r="C49" s="22" t="inlineStr">
        <is>
          <t>Nov-2025</t>
        </is>
      </c>
      <c r="D49" s="23" t="n">
        <v>1457747.03</v>
      </c>
      <c r="E49" s="23" t="n">
        <v>3691</v>
      </c>
      <c r="F49" s="25" t="n">
        <v>394.95</v>
      </c>
      <c r="G49" s="23" t="n">
        <v>5318</v>
      </c>
      <c r="H49" s="25" t="n">
        <v>274.12</v>
      </c>
    </row>
    <row r="50">
      <c r="A50" s="22" t="inlineStr">
        <is>
          <t>PRJ-002</t>
        </is>
      </c>
      <c r="B50" s="22" t="inlineStr">
        <is>
          <t>Nutrition Stabilisation Centre - Malir</t>
        </is>
      </c>
      <c r="C50" s="22" t="inlineStr">
        <is>
          <t>Dec-2025</t>
        </is>
      </c>
      <c r="D50" s="23" t="n">
        <v>1904765.53</v>
      </c>
      <c r="E50" s="23" t="n">
        <v>3047</v>
      </c>
      <c r="F50" s="25" t="n">
        <v>625.13</v>
      </c>
      <c r="G50" s="23" t="n">
        <v>5923</v>
      </c>
      <c r="H50" s="25" t="n">
        <v>321.59</v>
      </c>
    </row>
    <row r="51">
      <c r="A51" s="22" t="inlineStr">
        <is>
          <t>PRJ-002</t>
        </is>
      </c>
      <c r="B51" s="22" t="inlineStr">
        <is>
          <t>Nutrition Stabilisation Centre - Malir</t>
        </is>
      </c>
      <c r="C51" s="22" t="inlineStr">
        <is>
          <t>Jan-2026</t>
        </is>
      </c>
      <c r="D51" s="23" t="n">
        <v>1983614.4</v>
      </c>
      <c r="E51" s="23" t="n">
        <v>3320</v>
      </c>
      <c r="F51" s="25" t="n">
        <v>597.47</v>
      </c>
      <c r="G51" s="23" t="n">
        <v>5518</v>
      </c>
      <c r="H51" s="25" t="n">
        <v>359.48</v>
      </c>
    </row>
    <row r="52">
      <c r="A52" s="22" t="inlineStr">
        <is>
          <t>PRJ-002</t>
        </is>
      </c>
      <c r="B52" s="22" t="inlineStr">
        <is>
          <t>Nutrition Stabilisation Centre - Malir</t>
        </is>
      </c>
      <c r="C52" s="22" t="inlineStr">
        <is>
          <t>Feb-2026</t>
        </is>
      </c>
      <c r="D52" s="23" t="n">
        <v>2061311.01</v>
      </c>
      <c r="E52" s="23" t="n">
        <v>3880</v>
      </c>
      <c r="F52" s="25" t="n">
        <v>531.27</v>
      </c>
      <c r="G52" s="23" t="n">
        <v>7497</v>
      </c>
      <c r="H52" s="25" t="n">
        <v>274.95</v>
      </c>
    </row>
    <row r="53">
      <c r="A53" s="22" t="inlineStr">
        <is>
          <t>PRJ-002</t>
        </is>
      </c>
      <c r="B53" s="22" t="inlineStr">
        <is>
          <t>Nutrition Stabilisation Centre - Malir</t>
        </is>
      </c>
      <c r="C53" s="22" t="inlineStr">
        <is>
          <t>Mar-2026</t>
        </is>
      </c>
      <c r="D53" s="23" t="n">
        <v>1286205.44</v>
      </c>
      <c r="E53" s="23" t="n">
        <v>2522</v>
      </c>
      <c r="F53" s="25" t="n">
        <v>509.99</v>
      </c>
      <c r="G53" s="23" t="n">
        <v>5434</v>
      </c>
      <c r="H53" s="25" t="n">
        <v>236.7</v>
      </c>
    </row>
    <row r="54">
      <c r="A54" s="22" t="inlineStr">
        <is>
          <t>PRJ-002</t>
        </is>
      </c>
      <c r="B54" s="22" t="inlineStr">
        <is>
          <t>Nutrition Stabilisation Centre - Malir</t>
        </is>
      </c>
      <c r="C54" s="22" t="inlineStr">
        <is>
          <t>Apr-2026</t>
        </is>
      </c>
      <c r="D54" s="23" t="n">
        <v>1391355.8</v>
      </c>
      <c r="E54" s="23" t="n">
        <v>3396</v>
      </c>
      <c r="F54" s="25" t="n">
        <v>409.7</v>
      </c>
      <c r="G54" s="23" t="n">
        <v>5771</v>
      </c>
      <c r="H54" s="25" t="n">
        <v>241.09</v>
      </c>
    </row>
    <row r="55">
      <c r="A55" s="22" t="inlineStr">
        <is>
          <t>PRJ-002</t>
        </is>
      </c>
      <c r="B55" s="22" t="inlineStr">
        <is>
          <t>Nutrition Stabilisation Centre - Malir</t>
        </is>
      </c>
      <c r="C55" s="22" t="inlineStr">
        <is>
          <t>May-2026</t>
        </is>
      </c>
      <c r="D55" s="23" t="n">
        <v>1512458.89</v>
      </c>
      <c r="E55" s="23" t="n">
        <v>4055</v>
      </c>
      <c r="F55" s="25" t="n">
        <v>372.99</v>
      </c>
      <c r="G55" s="23" t="n">
        <v>8480</v>
      </c>
      <c r="H55" s="25" t="n">
        <v>178.36</v>
      </c>
    </row>
    <row r="56">
      <c r="A56" s="22" t="inlineStr">
        <is>
          <t>PRJ-002</t>
        </is>
      </c>
      <c r="B56" s="22" t="inlineStr">
        <is>
          <t>Nutrition Stabilisation Centre - Malir</t>
        </is>
      </c>
      <c r="C56" s="22" t="inlineStr">
        <is>
          <t>Jun-2026</t>
        </is>
      </c>
      <c r="D56" s="23" t="n">
        <v>1472550.23</v>
      </c>
      <c r="E56" s="23" t="n">
        <v>3004</v>
      </c>
      <c r="F56" s="25" t="n">
        <v>490.2</v>
      </c>
      <c r="G56" s="23" t="n">
        <v>4945</v>
      </c>
      <c r="H56" s="25" t="n">
        <v>297.79</v>
      </c>
    </row>
    <row r="57">
      <c r="A57" s="22" t="inlineStr">
        <is>
          <t>PRJ-002</t>
        </is>
      </c>
      <c r="B57" s="22" t="inlineStr">
        <is>
          <t>Nutrition Stabilisation Centre - Malir</t>
        </is>
      </c>
      <c r="C57" s="22" t="inlineStr">
        <is>
          <t>Jul-2026</t>
        </is>
      </c>
      <c r="D57" s="23" t="n">
        <v>2318123.8</v>
      </c>
      <c r="E57" s="23" t="n">
        <v>4777</v>
      </c>
      <c r="F57" s="25" t="n">
        <v>485.27</v>
      </c>
      <c r="G57" s="23" t="n">
        <v>9984</v>
      </c>
      <c r="H57" s="25" t="n">
        <v>232.18</v>
      </c>
    </row>
    <row r="58">
      <c r="A58" s="22" t="inlineStr">
        <is>
          <t>PRJ-002</t>
        </is>
      </c>
      <c r="B58" s="22" t="inlineStr">
        <is>
          <t>Nutrition Stabilisation Centre - Malir</t>
        </is>
      </c>
      <c r="C58" s="22" t="inlineStr">
        <is>
          <t>Aug-2026</t>
        </is>
      </c>
      <c r="D58" s="23" t="n">
        <v>2065510.17</v>
      </c>
      <c r="E58" s="23" t="n">
        <v>3462</v>
      </c>
      <c r="F58" s="25" t="n">
        <v>596.62</v>
      </c>
      <c r="G58" s="23" t="n">
        <v>5494</v>
      </c>
      <c r="H58" s="25" t="n">
        <v>375.96</v>
      </c>
    </row>
    <row r="59">
      <c r="A59" s="22" t="inlineStr">
        <is>
          <t>PRJ-002</t>
        </is>
      </c>
      <c r="B59" s="22" t="inlineStr">
        <is>
          <t>Nutrition Stabilisation Centre - Malir</t>
        </is>
      </c>
      <c r="C59" s="22" t="inlineStr">
        <is>
          <t>Sep-2026</t>
        </is>
      </c>
      <c r="D59" s="23" t="n">
        <v>1817222.37</v>
      </c>
      <c r="E59" s="23" t="n">
        <v>3774</v>
      </c>
      <c r="F59" s="25" t="n">
        <v>481.51</v>
      </c>
      <c r="G59" s="23" t="n">
        <v>8350</v>
      </c>
      <c r="H59" s="25" t="n">
        <v>217.63</v>
      </c>
    </row>
    <row r="60">
      <c r="A60" s="22" t="inlineStr">
        <is>
          <t>PRJ-003</t>
        </is>
      </c>
      <c r="B60" s="22" t="inlineStr">
        <is>
          <t>TB DOTS Expansion - Karachi South</t>
        </is>
      </c>
      <c r="C60" s="22" t="inlineStr">
        <is>
          <t>Jul-2024</t>
        </is>
      </c>
      <c r="D60" s="23" t="n">
        <v>1010419.57</v>
      </c>
      <c r="E60" s="23" t="n">
        <v>3337</v>
      </c>
      <c r="F60" s="25" t="n">
        <v>302.79</v>
      </c>
      <c r="G60" s="23" t="n">
        <v>4794</v>
      </c>
      <c r="H60" s="25" t="n">
        <v>210.77</v>
      </c>
    </row>
    <row r="61">
      <c r="A61" s="22" t="inlineStr">
        <is>
          <t>PRJ-003</t>
        </is>
      </c>
      <c r="B61" s="22" t="inlineStr">
        <is>
          <t>TB DOTS Expansion - Karachi South</t>
        </is>
      </c>
      <c r="C61" s="22" t="inlineStr">
        <is>
          <t>Aug-2024</t>
        </is>
      </c>
      <c r="D61" s="23" t="n">
        <v>1407393.94</v>
      </c>
      <c r="E61" s="23" t="n">
        <v>3234</v>
      </c>
      <c r="F61" s="25" t="n">
        <v>435.19</v>
      </c>
      <c r="G61" s="23" t="n">
        <v>6361</v>
      </c>
      <c r="H61" s="25" t="n">
        <v>221.25</v>
      </c>
    </row>
    <row r="62">
      <c r="A62" s="22" t="inlineStr">
        <is>
          <t>PRJ-003</t>
        </is>
      </c>
      <c r="B62" s="22" t="inlineStr">
        <is>
          <t>TB DOTS Expansion - Karachi South</t>
        </is>
      </c>
      <c r="C62" s="22" t="inlineStr">
        <is>
          <t>Sep-2024</t>
        </is>
      </c>
      <c r="D62" s="23" t="n">
        <v>1076450.06</v>
      </c>
      <c r="E62" s="23" t="n">
        <v>3355</v>
      </c>
      <c r="F62" s="25" t="n">
        <v>320.85</v>
      </c>
      <c r="G62" s="23" t="n">
        <v>5270</v>
      </c>
      <c r="H62" s="25" t="n">
        <v>204.26</v>
      </c>
    </row>
    <row r="63">
      <c r="A63" s="22" t="inlineStr">
        <is>
          <t>PRJ-003</t>
        </is>
      </c>
      <c r="B63" s="22" t="inlineStr">
        <is>
          <t>TB DOTS Expansion - Karachi South</t>
        </is>
      </c>
      <c r="C63" s="22" t="inlineStr">
        <is>
          <t>Oct-2024</t>
        </is>
      </c>
      <c r="D63" s="23" t="n">
        <v>1183736.46</v>
      </c>
      <c r="E63" s="23" t="n">
        <v>3679</v>
      </c>
      <c r="F63" s="25" t="n">
        <v>321.75</v>
      </c>
      <c r="G63" s="23" t="n">
        <v>5590</v>
      </c>
      <c r="H63" s="25" t="n">
        <v>211.76</v>
      </c>
    </row>
    <row r="64">
      <c r="A64" s="22" t="inlineStr">
        <is>
          <t>PRJ-003</t>
        </is>
      </c>
      <c r="B64" s="22" t="inlineStr">
        <is>
          <t>TB DOTS Expansion - Karachi South</t>
        </is>
      </c>
      <c r="C64" s="22" t="inlineStr">
        <is>
          <t>Nov-2024</t>
        </is>
      </c>
      <c r="D64" s="23" t="n">
        <v>911625.62</v>
      </c>
      <c r="E64" s="23" t="n">
        <v>3426</v>
      </c>
      <c r="F64" s="25" t="n">
        <v>266.09</v>
      </c>
      <c r="G64" s="23" t="n">
        <v>6510</v>
      </c>
      <c r="H64" s="25" t="n">
        <v>140.03</v>
      </c>
    </row>
    <row r="65">
      <c r="A65" s="22" t="inlineStr">
        <is>
          <t>PRJ-003</t>
        </is>
      </c>
      <c r="B65" s="22" t="inlineStr">
        <is>
          <t>TB DOTS Expansion - Karachi South</t>
        </is>
      </c>
      <c r="C65" s="22" t="inlineStr">
        <is>
          <t>Dec-2024</t>
        </is>
      </c>
      <c r="D65" s="23" t="n">
        <v>1024999.71</v>
      </c>
      <c r="E65" s="23" t="n">
        <v>2976</v>
      </c>
      <c r="F65" s="25" t="n">
        <v>344.42</v>
      </c>
      <c r="G65" s="23" t="n">
        <v>6432</v>
      </c>
      <c r="H65" s="25" t="n">
        <v>159.36</v>
      </c>
    </row>
    <row r="66">
      <c r="A66" s="22" t="inlineStr">
        <is>
          <t>PRJ-003</t>
        </is>
      </c>
      <c r="B66" s="22" t="inlineStr">
        <is>
          <t>TB DOTS Expansion - Karachi South</t>
        </is>
      </c>
      <c r="C66" s="22" t="inlineStr">
        <is>
          <t>Jan-2025</t>
        </is>
      </c>
      <c r="D66" s="23" t="n">
        <v>1445200.6</v>
      </c>
      <c r="E66" s="23" t="n">
        <v>2942</v>
      </c>
      <c r="F66" s="25" t="n">
        <v>491.23</v>
      </c>
      <c r="G66" s="23" t="n">
        <v>6316</v>
      </c>
      <c r="H66" s="25" t="n">
        <v>228.82</v>
      </c>
    </row>
    <row r="67">
      <c r="A67" s="22" t="inlineStr">
        <is>
          <t>PRJ-003</t>
        </is>
      </c>
      <c r="B67" s="22" t="inlineStr">
        <is>
          <t>TB DOTS Expansion - Karachi South</t>
        </is>
      </c>
      <c r="C67" s="22" t="inlineStr">
        <is>
          <t>Feb-2025</t>
        </is>
      </c>
      <c r="D67" s="23" t="n">
        <v>1179382.6</v>
      </c>
      <c r="E67" s="23" t="n">
        <v>3845</v>
      </c>
      <c r="F67" s="25" t="n">
        <v>306.73</v>
      </c>
      <c r="G67" s="23" t="n">
        <v>6554</v>
      </c>
      <c r="H67" s="25" t="n">
        <v>179.95</v>
      </c>
    </row>
    <row r="68">
      <c r="A68" s="22" t="inlineStr">
        <is>
          <t>PRJ-003</t>
        </is>
      </c>
      <c r="B68" s="22" t="inlineStr">
        <is>
          <t>TB DOTS Expansion - Karachi South</t>
        </is>
      </c>
      <c r="C68" s="22" t="inlineStr">
        <is>
          <t>Mar-2025</t>
        </is>
      </c>
      <c r="D68" s="23" t="n">
        <v>925635.5699999999</v>
      </c>
      <c r="E68" s="23" t="n">
        <v>3013</v>
      </c>
      <c r="F68" s="25" t="n">
        <v>307.21</v>
      </c>
      <c r="G68" s="23" t="n">
        <v>5203</v>
      </c>
      <c r="H68" s="25" t="n">
        <v>177.9</v>
      </c>
    </row>
    <row r="69">
      <c r="A69" s="22" t="inlineStr">
        <is>
          <t>PRJ-003</t>
        </is>
      </c>
      <c r="B69" s="22" t="inlineStr">
        <is>
          <t>TB DOTS Expansion - Karachi South</t>
        </is>
      </c>
      <c r="C69" s="22" t="inlineStr">
        <is>
          <t>Apr-2025</t>
        </is>
      </c>
      <c r="D69" s="23" t="n">
        <v>1009177.93</v>
      </c>
      <c r="E69" s="23" t="n">
        <v>4593</v>
      </c>
      <c r="F69" s="25" t="n">
        <v>219.72</v>
      </c>
      <c r="G69" s="23" t="n">
        <v>7411</v>
      </c>
      <c r="H69" s="25" t="n">
        <v>136.17</v>
      </c>
    </row>
    <row r="70">
      <c r="A70" s="22" t="inlineStr">
        <is>
          <t>PRJ-003</t>
        </is>
      </c>
      <c r="B70" s="22" t="inlineStr">
        <is>
          <t>TB DOTS Expansion - Karachi South</t>
        </is>
      </c>
      <c r="C70" s="22" t="inlineStr">
        <is>
          <t>May-2025</t>
        </is>
      </c>
      <c r="D70" s="23" t="n">
        <v>985665.86</v>
      </c>
      <c r="E70" s="23" t="n">
        <v>3160</v>
      </c>
      <c r="F70" s="25" t="n">
        <v>311.92</v>
      </c>
      <c r="G70" s="23" t="n">
        <v>6822</v>
      </c>
      <c r="H70" s="25" t="n">
        <v>144.48</v>
      </c>
    </row>
    <row r="71">
      <c r="A71" s="22" t="inlineStr">
        <is>
          <t>PRJ-003</t>
        </is>
      </c>
      <c r="B71" s="22" t="inlineStr">
        <is>
          <t>TB DOTS Expansion - Karachi South</t>
        </is>
      </c>
      <c r="C71" s="22" t="inlineStr">
        <is>
          <t>Jun-2025</t>
        </is>
      </c>
      <c r="D71" s="23" t="n">
        <v>883606.01</v>
      </c>
      <c r="E71" s="23" t="n">
        <v>3336</v>
      </c>
      <c r="F71" s="25" t="n">
        <v>264.87</v>
      </c>
      <c r="G71" s="23" t="n">
        <v>6143</v>
      </c>
      <c r="H71" s="25" t="n">
        <v>143.84</v>
      </c>
    </row>
    <row r="72">
      <c r="A72" s="22" t="inlineStr">
        <is>
          <t>PRJ-003</t>
        </is>
      </c>
      <c r="B72" s="22" t="inlineStr">
        <is>
          <t>TB DOTS Expansion - Karachi South</t>
        </is>
      </c>
      <c r="C72" s="22" t="inlineStr">
        <is>
          <t>Jul-2025</t>
        </is>
      </c>
      <c r="D72" s="23" t="n">
        <v>1207446.9</v>
      </c>
      <c r="E72" s="23" t="n">
        <v>3272</v>
      </c>
      <c r="F72" s="25" t="n">
        <v>369.02</v>
      </c>
      <c r="G72" s="23" t="n">
        <v>6711</v>
      </c>
      <c r="H72" s="25" t="n">
        <v>179.92</v>
      </c>
    </row>
    <row r="73">
      <c r="A73" s="22" t="inlineStr">
        <is>
          <t>PRJ-003</t>
        </is>
      </c>
      <c r="B73" s="22" t="inlineStr">
        <is>
          <t>TB DOTS Expansion - Karachi South</t>
        </is>
      </c>
      <c r="C73" s="22" t="inlineStr">
        <is>
          <t>Aug-2025</t>
        </is>
      </c>
      <c r="D73" s="23" t="n">
        <v>1794912.28</v>
      </c>
      <c r="E73" s="23" t="n">
        <v>4820</v>
      </c>
      <c r="F73" s="25" t="n">
        <v>372.39</v>
      </c>
      <c r="G73" s="23" t="n">
        <v>7831</v>
      </c>
      <c r="H73" s="25" t="n">
        <v>229.21</v>
      </c>
    </row>
    <row r="74">
      <c r="A74" s="22" t="inlineStr">
        <is>
          <t>PRJ-003</t>
        </is>
      </c>
      <c r="B74" s="22" t="inlineStr">
        <is>
          <t>TB DOTS Expansion - Karachi South</t>
        </is>
      </c>
      <c r="C74" s="22" t="inlineStr">
        <is>
          <t>Sep-2025</t>
        </is>
      </c>
      <c r="D74" s="23" t="n">
        <v>1877341.45</v>
      </c>
      <c r="E74" s="23" t="n">
        <v>4329</v>
      </c>
      <c r="F74" s="25" t="n">
        <v>433.67</v>
      </c>
      <c r="G74" s="23" t="n">
        <v>6321</v>
      </c>
      <c r="H74" s="25" t="n">
        <v>297</v>
      </c>
    </row>
    <row r="75">
      <c r="A75" s="22" t="inlineStr">
        <is>
          <t>PRJ-003</t>
        </is>
      </c>
      <c r="B75" s="22" t="inlineStr">
        <is>
          <t>TB DOTS Expansion - Karachi South</t>
        </is>
      </c>
      <c r="C75" s="22" t="inlineStr">
        <is>
          <t>Oct-2025</t>
        </is>
      </c>
      <c r="D75" s="23" t="n">
        <v>1101144.9</v>
      </c>
      <c r="E75" s="23" t="n">
        <v>4496</v>
      </c>
      <c r="F75" s="25" t="n">
        <v>244.92</v>
      </c>
      <c r="G75" s="23" t="n">
        <v>9542</v>
      </c>
      <c r="H75" s="25" t="n">
        <v>115.4</v>
      </c>
    </row>
    <row r="76">
      <c r="A76" s="22" t="inlineStr">
        <is>
          <t>PRJ-003</t>
        </is>
      </c>
      <c r="B76" s="22" t="inlineStr">
        <is>
          <t>TB DOTS Expansion - Karachi South</t>
        </is>
      </c>
      <c r="C76" s="22" t="inlineStr">
        <is>
          <t>Nov-2025</t>
        </is>
      </c>
      <c r="D76" s="23" t="n">
        <v>963254.61</v>
      </c>
      <c r="E76" s="23" t="n">
        <v>3677</v>
      </c>
      <c r="F76" s="25" t="n">
        <v>261.97</v>
      </c>
      <c r="G76" s="23" t="n">
        <v>6969</v>
      </c>
      <c r="H76" s="25" t="n">
        <v>138.22</v>
      </c>
    </row>
    <row r="77">
      <c r="A77" s="22" t="inlineStr">
        <is>
          <t>PRJ-003</t>
        </is>
      </c>
      <c r="B77" s="22" t="inlineStr">
        <is>
          <t>TB DOTS Expansion - Karachi South</t>
        </is>
      </c>
      <c r="C77" s="22" t="inlineStr">
        <is>
          <t>Dec-2025</t>
        </is>
      </c>
      <c r="D77" s="23" t="n">
        <v>1345757.82</v>
      </c>
      <c r="E77" s="23" t="n">
        <v>3750</v>
      </c>
      <c r="F77" s="25" t="n">
        <v>358.87</v>
      </c>
      <c r="G77" s="23" t="n">
        <v>6995</v>
      </c>
      <c r="H77" s="25" t="n">
        <v>192.39</v>
      </c>
    </row>
    <row r="78">
      <c r="A78" s="22" t="inlineStr">
        <is>
          <t>PRJ-003</t>
        </is>
      </c>
      <c r="B78" s="22" t="inlineStr">
        <is>
          <t>TB DOTS Expansion - Karachi South</t>
        </is>
      </c>
      <c r="C78" s="22" t="inlineStr">
        <is>
          <t>Jan-2026</t>
        </is>
      </c>
      <c r="D78" s="23" t="n">
        <v>1297812.55</v>
      </c>
      <c r="E78" s="23" t="n">
        <v>3435</v>
      </c>
      <c r="F78" s="25" t="n">
        <v>377.82</v>
      </c>
      <c r="G78" s="23" t="n">
        <v>5005</v>
      </c>
      <c r="H78" s="25" t="n">
        <v>259.3</v>
      </c>
    </row>
    <row r="79">
      <c r="A79" s="22" t="inlineStr">
        <is>
          <t>PRJ-003</t>
        </is>
      </c>
      <c r="B79" s="22" t="inlineStr">
        <is>
          <t>TB DOTS Expansion - Karachi South</t>
        </is>
      </c>
      <c r="C79" s="22" t="inlineStr">
        <is>
          <t>Feb-2026</t>
        </is>
      </c>
      <c r="D79" s="23" t="n">
        <v>1453432.32</v>
      </c>
      <c r="E79" s="23" t="n">
        <v>4198</v>
      </c>
      <c r="F79" s="25" t="n">
        <v>346.22</v>
      </c>
      <c r="G79" s="23" t="n">
        <v>7140</v>
      </c>
      <c r="H79" s="25" t="n">
        <v>203.56</v>
      </c>
    </row>
    <row r="80">
      <c r="A80" s="22" t="inlineStr">
        <is>
          <t>PRJ-003</t>
        </is>
      </c>
      <c r="B80" s="22" t="inlineStr">
        <is>
          <t>TB DOTS Expansion - Karachi South</t>
        </is>
      </c>
      <c r="C80" s="22" t="inlineStr">
        <is>
          <t>Mar-2026</t>
        </is>
      </c>
      <c r="D80" s="23" t="n">
        <v>840576.77</v>
      </c>
      <c r="E80" s="23" t="n">
        <v>2546</v>
      </c>
      <c r="F80" s="25" t="n">
        <v>330.16</v>
      </c>
      <c r="G80" s="23" t="n">
        <v>4349</v>
      </c>
      <c r="H80" s="25" t="n">
        <v>193.28</v>
      </c>
    </row>
    <row r="81">
      <c r="A81" s="22" t="inlineStr">
        <is>
          <t>PRJ-003</t>
        </is>
      </c>
      <c r="B81" s="22" t="inlineStr">
        <is>
          <t>TB DOTS Expansion - Karachi South</t>
        </is>
      </c>
      <c r="C81" s="22" t="inlineStr">
        <is>
          <t>Apr-2026</t>
        </is>
      </c>
      <c r="D81" s="23" t="n">
        <v>1069718.86</v>
      </c>
      <c r="E81" s="23" t="n">
        <v>4541</v>
      </c>
      <c r="F81" s="25" t="n">
        <v>235.57</v>
      </c>
      <c r="G81" s="23" t="n">
        <v>10410</v>
      </c>
      <c r="H81" s="25" t="n">
        <v>102.76</v>
      </c>
    </row>
    <row r="82">
      <c r="A82" s="22" t="inlineStr">
        <is>
          <t>PRJ-003</t>
        </is>
      </c>
      <c r="B82" s="22" t="inlineStr">
        <is>
          <t>TB DOTS Expansion - Karachi South</t>
        </is>
      </c>
      <c r="C82" s="22" t="inlineStr">
        <is>
          <t>May-2026</t>
        </is>
      </c>
      <c r="D82" s="23" t="n">
        <v>1055670.24</v>
      </c>
      <c r="E82" s="23" t="n">
        <v>4632</v>
      </c>
      <c r="F82" s="25" t="n">
        <v>227.91</v>
      </c>
      <c r="G82" s="23" t="n">
        <v>10473</v>
      </c>
      <c r="H82" s="25" t="n">
        <v>100.8</v>
      </c>
    </row>
    <row r="83">
      <c r="A83" s="22" t="inlineStr">
        <is>
          <t>PRJ-003</t>
        </is>
      </c>
      <c r="B83" s="22" t="inlineStr">
        <is>
          <t>TB DOTS Expansion - Karachi South</t>
        </is>
      </c>
      <c r="C83" s="22" t="inlineStr">
        <is>
          <t>Jun-2026</t>
        </is>
      </c>
      <c r="D83" s="23" t="n">
        <v>1173408.44</v>
      </c>
      <c r="E83" s="23" t="n">
        <v>3252</v>
      </c>
      <c r="F83" s="25" t="n">
        <v>360.83</v>
      </c>
      <c r="G83" s="23" t="n">
        <v>5103</v>
      </c>
      <c r="H83" s="25" t="n">
        <v>229.94</v>
      </c>
    </row>
    <row r="84">
      <c r="A84" s="22" t="inlineStr">
        <is>
          <t>PRJ-003</t>
        </is>
      </c>
      <c r="B84" s="22" t="inlineStr">
        <is>
          <t>TB DOTS Expansion - Karachi South</t>
        </is>
      </c>
      <c r="C84" s="22" t="inlineStr">
        <is>
          <t>Jul-2026</t>
        </is>
      </c>
      <c r="D84" s="23" t="n">
        <v>1659175.5</v>
      </c>
      <c r="E84" s="23" t="n">
        <v>4297</v>
      </c>
      <c r="F84" s="25" t="n">
        <v>386.12</v>
      </c>
      <c r="G84" s="23" t="n">
        <v>9224</v>
      </c>
      <c r="H84" s="25" t="n">
        <v>179.88</v>
      </c>
    </row>
    <row r="85">
      <c r="A85" s="22" t="inlineStr">
        <is>
          <t>PRJ-003</t>
        </is>
      </c>
      <c r="B85" s="22" t="inlineStr">
        <is>
          <t>TB DOTS Expansion - Karachi South</t>
        </is>
      </c>
      <c r="C85" s="22" t="inlineStr">
        <is>
          <t>Aug-2026</t>
        </is>
      </c>
      <c r="D85" s="23" t="n">
        <v>1558245</v>
      </c>
      <c r="E85" s="23" t="n">
        <v>3870</v>
      </c>
      <c r="F85" s="25" t="n">
        <v>402.65</v>
      </c>
      <c r="G85" s="23" t="n">
        <v>6608</v>
      </c>
      <c r="H85" s="25" t="n">
        <v>235.81</v>
      </c>
    </row>
    <row r="86">
      <c r="A86" s="22" t="inlineStr">
        <is>
          <t>PRJ-003</t>
        </is>
      </c>
      <c r="B86" s="22" t="inlineStr">
        <is>
          <t>TB DOTS Expansion - Karachi South</t>
        </is>
      </c>
      <c r="C86" s="22" t="inlineStr">
        <is>
          <t>Sep-2026</t>
        </is>
      </c>
      <c r="D86" s="23" t="n">
        <v>1624824.54</v>
      </c>
      <c r="E86" s="23" t="n">
        <v>3529</v>
      </c>
      <c r="F86" s="25" t="n">
        <v>460.42</v>
      </c>
      <c r="G86" s="23" t="n">
        <v>7115</v>
      </c>
      <c r="H86" s="25" t="n">
        <v>228.37</v>
      </c>
    </row>
    <row r="87">
      <c r="A87" s="22" t="inlineStr">
        <is>
          <t>PRJ-004</t>
        </is>
      </c>
      <c r="B87" s="22" t="inlineStr">
        <is>
          <t>Primary Healthcare Support - Tharparkar</t>
        </is>
      </c>
      <c r="C87" s="22" t="inlineStr">
        <is>
          <t>Oct-2024</t>
        </is>
      </c>
      <c r="D87" s="23" t="n">
        <v>1114505.01</v>
      </c>
      <c r="E87" s="23" t="n">
        <v>2866</v>
      </c>
      <c r="F87" s="25" t="n">
        <v>388.87</v>
      </c>
      <c r="G87" s="23" t="n">
        <v>6263</v>
      </c>
      <c r="H87" s="25" t="n">
        <v>177.95</v>
      </c>
    </row>
    <row r="88">
      <c r="A88" s="22" t="inlineStr">
        <is>
          <t>PRJ-004</t>
        </is>
      </c>
      <c r="B88" s="22" t="inlineStr">
        <is>
          <t>Primary Healthcare Support - Tharparkar</t>
        </is>
      </c>
      <c r="C88" s="22" t="inlineStr">
        <is>
          <t>Nov-2024</t>
        </is>
      </c>
      <c r="D88" s="23" t="n">
        <v>939342.09</v>
      </c>
      <c r="E88" s="23" t="n">
        <v>3601</v>
      </c>
      <c r="F88" s="25" t="n">
        <v>260.86</v>
      </c>
      <c r="G88" s="23" t="n">
        <v>6880</v>
      </c>
      <c r="H88" s="25" t="n">
        <v>136.53</v>
      </c>
    </row>
    <row r="89">
      <c r="A89" s="22" t="inlineStr">
        <is>
          <t>PRJ-004</t>
        </is>
      </c>
      <c r="B89" s="22" t="inlineStr">
        <is>
          <t>Primary Healthcare Support - Tharparkar</t>
        </is>
      </c>
      <c r="C89" s="22" t="inlineStr">
        <is>
          <t>Dec-2024</t>
        </is>
      </c>
      <c r="D89" s="23" t="n">
        <v>946510.52</v>
      </c>
      <c r="E89" s="23" t="n">
        <v>2361</v>
      </c>
      <c r="F89" s="25" t="n">
        <v>400.89</v>
      </c>
      <c r="G89" s="23" t="n">
        <v>4015</v>
      </c>
      <c r="H89" s="25" t="n">
        <v>235.74</v>
      </c>
    </row>
    <row r="90">
      <c r="A90" s="22" t="inlineStr">
        <is>
          <t>PRJ-004</t>
        </is>
      </c>
      <c r="B90" s="22" t="inlineStr">
        <is>
          <t>Primary Healthcare Support - Tharparkar</t>
        </is>
      </c>
      <c r="C90" s="22" t="inlineStr">
        <is>
          <t>Jan-2025</t>
        </is>
      </c>
      <c r="D90" s="23" t="n">
        <v>1344933.12</v>
      </c>
      <c r="E90" s="23" t="n">
        <v>2588</v>
      </c>
      <c r="F90" s="25" t="n">
        <v>519.6799999999999</v>
      </c>
      <c r="G90" s="23" t="n">
        <v>5579</v>
      </c>
      <c r="H90" s="25" t="n">
        <v>241.07</v>
      </c>
    </row>
    <row r="91">
      <c r="A91" s="22" t="inlineStr">
        <is>
          <t>PRJ-004</t>
        </is>
      </c>
      <c r="B91" s="22" t="inlineStr">
        <is>
          <t>Primary Healthcare Support - Tharparkar</t>
        </is>
      </c>
      <c r="C91" s="22" t="inlineStr">
        <is>
          <t>Feb-2025</t>
        </is>
      </c>
      <c r="D91" s="23" t="n">
        <v>1026400.29</v>
      </c>
      <c r="E91" s="23" t="n">
        <v>2518</v>
      </c>
      <c r="F91" s="25" t="n">
        <v>407.63</v>
      </c>
      <c r="G91" s="23" t="n">
        <v>4622</v>
      </c>
      <c r="H91" s="25" t="n">
        <v>222.07</v>
      </c>
    </row>
    <row r="92">
      <c r="A92" s="22" t="inlineStr">
        <is>
          <t>PRJ-004</t>
        </is>
      </c>
      <c r="B92" s="22" t="inlineStr">
        <is>
          <t>Primary Healthcare Support - Tharparkar</t>
        </is>
      </c>
      <c r="C92" s="22" t="inlineStr">
        <is>
          <t>Mar-2025</t>
        </is>
      </c>
      <c r="D92" s="23" t="n">
        <v>910146.25</v>
      </c>
      <c r="E92" s="23" t="n">
        <v>3199</v>
      </c>
      <c r="F92" s="25" t="n">
        <v>284.51</v>
      </c>
      <c r="G92" s="23" t="n">
        <v>6524</v>
      </c>
      <c r="H92" s="25" t="n">
        <v>139.51</v>
      </c>
    </row>
    <row r="93">
      <c r="A93" s="22" t="inlineStr">
        <is>
          <t>PRJ-004</t>
        </is>
      </c>
      <c r="B93" s="22" t="inlineStr">
        <is>
          <t>Primary Healthcare Support - Tharparkar</t>
        </is>
      </c>
      <c r="C93" s="22" t="inlineStr">
        <is>
          <t>Apr-2025</t>
        </is>
      </c>
      <c r="D93" s="23" t="n">
        <v>843574.9</v>
      </c>
      <c r="E93" s="23" t="n">
        <v>3342</v>
      </c>
      <c r="F93" s="25" t="n">
        <v>252.42</v>
      </c>
      <c r="G93" s="23" t="n">
        <v>7525</v>
      </c>
      <c r="H93" s="25" t="n">
        <v>112.1</v>
      </c>
    </row>
    <row r="94">
      <c r="A94" s="22" t="inlineStr">
        <is>
          <t>PRJ-004</t>
        </is>
      </c>
      <c r="B94" s="22" t="inlineStr">
        <is>
          <t>Primary Healthcare Support - Tharparkar</t>
        </is>
      </c>
      <c r="C94" s="22" t="inlineStr">
        <is>
          <t>May-2025</t>
        </is>
      </c>
      <c r="D94" s="23" t="n">
        <v>922965.37</v>
      </c>
      <c r="E94" s="23" t="n">
        <v>2792</v>
      </c>
      <c r="F94" s="25" t="n">
        <v>330.57</v>
      </c>
      <c r="G94" s="23" t="n">
        <v>4387</v>
      </c>
      <c r="H94" s="25" t="n">
        <v>210.39</v>
      </c>
    </row>
    <row r="95">
      <c r="A95" s="22" t="inlineStr">
        <is>
          <t>PRJ-004</t>
        </is>
      </c>
      <c r="B95" s="22" t="inlineStr">
        <is>
          <t>Primary Healthcare Support - Tharparkar</t>
        </is>
      </c>
      <c r="C95" s="22" t="inlineStr">
        <is>
          <t>Jun-2025</t>
        </is>
      </c>
      <c r="D95" s="23" t="n">
        <v>990333.12</v>
      </c>
      <c r="E95" s="23" t="n">
        <v>3065</v>
      </c>
      <c r="F95" s="25" t="n">
        <v>323.11</v>
      </c>
      <c r="G95" s="23" t="n">
        <v>5149</v>
      </c>
      <c r="H95" s="25" t="n">
        <v>192.34</v>
      </c>
    </row>
    <row r="96">
      <c r="A96" s="22" t="inlineStr">
        <is>
          <t>PRJ-004</t>
        </is>
      </c>
      <c r="B96" s="22" t="inlineStr">
        <is>
          <t>Primary Healthcare Support - Tharparkar</t>
        </is>
      </c>
      <c r="C96" s="22" t="inlineStr">
        <is>
          <t>Jul-2025</t>
        </is>
      </c>
      <c r="D96" s="23" t="n">
        <v>1138122.44</v>
      </c>
      <c r="E96" s="23" t="n">
        <v>2861</v>
      </c>
      <c r="F96" s="25" t="n">
        <v>397.81</v>
      </c>
      <c r="G96" s="23" t="n">
        <v>5582</v>
      </c>
      <c r="H96" s="25" t="n">
        <v>203.89</v>
      </c>
    </row>
    <row r="97">
      <c r="A97" s="22" t="inlineStr">
        <is>
          <t>PRJ-004</t>
        </is>
      </c>
      <c r="B97" s="22" t="inlineStr">
        <is>
          <t>Primary Healthcare Support - Tharparkar</t>
        </is>
      </c>
      <c r="C97" s="22" t="inlineStr">
        <is>
          <t>Aug-2025</t>
        </is>
      </c>
      <c r="D97" s="23" t="n">
        <v>1938814.68</v>
      </c>
      <c r="E97" s="23" t="n">
        <v>3214</v>
      </c>
      <c r="F97" s="25" t="n">
        <v>603.24</v>
      </c>
      <c r="G97" s="23" t="n">
        <v>5268</v>
      </c>
      <c r="H97" s="25" t="n">
        <v>368.04</v>
      </c>
    </row>
    <row r="98">
      <c r="A98" s="22" t="inlineStr">
        <is>
          <t>PRJ-004</t>
        </is>
      </c>
      <c r="B98" s="22" t="inlineStr">
        <is>
          <t>Primary Healthcare Support - Tharparkar</t>
        </is>
      </c>
      <c r="C98" s="22" t="inlineStr">
        <is>
          <t>Sep-2025</t>
        </is>
      </c>
      <c r="D98" s="23" t="n">
        <v>2012852.81</v>
      </c>
      <c r="E98" s="23" t="n">
        <v>3001</v>
      </c>
      <c r="F98" s="25" t="n">
        <v>670.73</v>
      </c>
      <c r="G98" s="23" t="n">
        <v>6420</v>
      </c>
      <c r="H98" s="25" t="n">
        <v>313.53</v>
      </c>
    </row>
    <row r="99">
      <c r="A99" s="22" t="inlineStr">
        <is>
          <t>PRJ-004</t>
        </is>
      </c>
      <c r="B99" s="22" t="inlineStr">
        <is>
          <t>Primary Healthcare Support - Tharparkar</t>
        </is>
      </c>
      <c r="C99" s="22" t="inlineStr">
        <is>
          <t>Oct-2025</t>
        </is>
      </c>
      <c r="D99" s="23" t="n">
        <v>1233306.25</v>
      </c>
      <c r="E99" s="23" t="n">
        <v>3099</v>
      </c>
      <c r="F99" s="25" t="n">
        <v>397.97</v>
      </c>
      <c r="G99" s="23" t="n">
        <v>7023</v>
      </c>
      <c r="H99" s="25" t="n">
        <v>175.61</v>
      </c>
    </row>
    <row r="100">
      <c r="A100" s="22" t="inlineStr">
        <is>
          <t>PRJ-004</t>
        </is>
      </c>
      <c r="B100" s="22" t="inlineStr">
        <is>
          <t>Primary Healthcare Support - Tharparkar</t>
        </is>
      </c>
      <c r="C100" s="22" t="inlineStr">
        <is>
          <t>Nov-2025</t>
        </is>
      </c>
      <c r="D100" s="23" t="n">
        <v>1227355.64</v>
      </c>
      <c r="E100" s="23" t="n">
        <v>3612</v>
      </c>
      <c r="F100" s="25" t="n">
        <v>339.8</v>
      </c>
      <c r="G100" s="23" t="n">
        <v>8281</v>
      </c>
      <c r="H100" s="25" t="n">
        <v>148.21</v>
      </c>
    </row>
    <row r="101">
      <c r="A101" s="22" t="inlineStr">
        <is>
          <t>PRJ-004</t>
        </is>
      </c>
      <c r="B101" s="22" t="inlineStr">
        <is>
          <t>Primary Healthcare Support - Tharparkar</t>
        </is>
      </c>
      <c r="C101" s="22" t="inlineStr">
        <is>
          <t>Dec-2025</t>
        </is>
      </c>
      <c r="D101" s="23" t="n">
        <v>1397504.75</v>
      </c>
      <c r="E101" s="23" t="n">
        <v>3539</v>
      </c>
      <c r="F101" s="25" t="n">
        <v>394.89</v>
      </c>
      <c r="G101" s="23" t="n">
        <v>5263</v>
      </c>
      <c r="H101" s="25" t="n">
        <v>265.53</v>
      </c>
    </row>
    <row r="102">
      <c r="A102" s="22" t="inlineStr">
        <is>
          <t>PRJ-004</t>
        </is>
      </c>
      <c r="B102" s="22" t="inlineStr">
        <is>
          <t>Primary Healthcare Support - Tharparkar</t>
        </is>
      </c>
      <c r="C102" s="22" t="inlineStr">
        <is>
          <t>Jan-2026</t>
        </is>
      </c>
      <c r="D102" s="23" t="n">
        <v>1495963.14</v>
      </c>
      <c r="E102" s="23" t="n">
        <v>2702</v>
      </c>
      <c r="F102" s="25" t="n">
        <v>553.65</v>
      </c>
      <c r="G102" s="23" t="n">
        <v>4866</v>
      </c>
      <c r="H102" s="25" t="n">
        <v>307.43</v>
      </c>
    </row>
    <row r="103">
      <c r="A103" s="22" t="inlineStr">
        <is>
          <t>PRJ-004</t>
        </is>
      </c>
      <c r="B103" s="22" t="inlineStr">
        <is>
          <t>Primary Healthcare Support - Tharparkar</t>
        </is>
      </c>
      <c r="C103" s="22" t="inlineStr">
        <is>
          <t>Feb-2026</t>
        </is>
      </c>
      <c r="D103" s="23" t="n">
        <v>1422614.18</v>
      </c>
      <c r="E103" s="23" t="n">
        <v>3004</v>
      </c>
      <c r="F103" s="25" t="n">
        <v>473.57</v>
      </c>
      <c r="G103" s="23" t="n">
        <v>6707</v>
      </c>
      <c r="H103" s="25" t="n">
        <v>212.11</v>
      </c>
    </row>
    <row r="104">
      <c r="A104" s="22" t="inlineStr">
        <is>
          <t>PRJ-004</t>
        </is>
      </c>
      <c r="B104" s="22" t="inlineStr">
        <is>
          <t>Primary Healthcare Support - Tharparkar</t>
        </is>
      </c>
      <c r="C104" s="22" t="inlineStr">
        <is>
          <t>Mar-2026</t>
        </is>
      </c>
      <c r="D104" s="23" t="n">
        <v>768548.58</v>
      </c>
      <c r="E104" s="23" t="n">
        <v>2939</v>
      </c>
      <c r="F104" s="25" t="n">
        <v>261.5</v>
      </c>
      <c r="G104" s="23" t="n">
        <v>6298</v>
      </c>
      <c r="H104" s="25" t="n">
        <v>122.03</v>
      </c>
    </row>
    <row r="105">
      <c r="A105" s="22" t="inlineStr">
        <is>
          <t>PRJ-004</t>
        </is>
      </c>
      <c r="B105" s="22" t="inlineStr">
        <is>
          <t>Primary Healthcare Support - Tharparkar</t>
        </is>
      </c>
      <c r="C105" s="22" t="inlineStr">
        <is>
          <t>Apr-2026</t>
        </is>
      </c>
      <c r="D105" s="23" t="n">
        <v>1246326.55</v>
      </c>
      <c r="E105" s="23" t="n">
        <v>2738</v>
      </c>
      <c r="F105" s="25" t="n">
        <v>455.2</v>
      </c>
      <c r="G105" s="23" t="n">
        <v>5256</v>
      </c>
      <c r="H105" s="25" t="n">
        <v>237.12</v>
      </c>
    </row>
    <row r="106">
      <c r="A106" s="22" t="inlineStr">
        <is>
          <t>PRJ-004</t>
        </is>
      </c>
      <c r="B106" s="22" t="inlineStr">
        <is>
          <t>Primary Healthcare Support - Tharparkar</t>
        </is>
      </c>
      <c r="C106" s="22" t="inlineStr">
        <is>
          <t>May-2026</t>
        </is>
      </c>
      <c r="D106" s="23" t="n">
        <v>826614.38</v>
      </c>
      <c r="E106" s="23" t="n">
        <v>3506</v>
      </c>
      <c r="F106" s="25" t="n">
        <v>235.77</v>
      </c>
      <c r="G106" s="23" t="n">
        <v>5952</v>
      </c>
      <c r="H106" s="25" t="n">
        <v>138.88</v>
      </c>
    </row>
    <row r="107">
      <c r="A107" s="22" t="inlineStr">
        <is>
          <t>PRJ-004</t>
        </is>
      </c>
      <c r="B107" s="22" t="inlineStr">
        <is>
          <t>Primary Healthcare Support - Tharparkar</t>
        </is>
      </c>
      <c r="C107" s="22" t="inlineStr">
        <is>
          <t>Jun-2026</t>
        </is>
      </c>
      <c r="D107" s="23" t="n">
        <v>1056066.87</v>
      </c>
      <c r="E107" s="23" t="n">
        <v>3560</v>
      </c>
      <c r="F107" s="25" t="n">
        <v>296.65</v>
      </c>
      <c r="G107" s="23" t="n">
        <v>7729</v>
      </c>
      <c r="H107" s="25" t="n">
        <v>136.64</v>
      </c>
    </row>
    <row r="108">
      <c r="A108" s="22" t="inlineStr">
        <is>
          <t>PRJ-004</t>
        </is>
      </c>
      <c r="B108" s="22" t="inlineStr">
        <is>
          <t>Primary Healthcare Support - Tharparkar</t>
        </is>
      </c>
      <c r="C108" s="22" t="inlineStr">
        <is>
          <t>Jul-2026</t>
        </is>
      </c>
      <c r="D108" s="23" t="n">
        <v>1580767.58</v>
      </c>
      <c r="E108" s="23" t="n">
        <v>3646</v>
      </c>
      <c r="F108" s="25" t="n">
        <v>433.56</v>
      </c>
      <c r="G108" s="23" t="n">
        <v>6748</v>
      </c>
      <c r="H108" s="25" t="n">
        <v>234.26</v>
      </c>
    </row>
    <row r="109">
      <c r="A109" s="22" t="inlineStr">
        <is>
          <t>PRJ-004</t>
        </is>
      </c>
      <c r="B109" s="22" t="inlineStr">
        <is>
          <t>Primary Healthcare Support - Tharparkar</t>
        </is>
      </c>
      <c r="C109" s="22" t="inlineStr">
        <is>
          <t>Aug-2026</t>
        </is>
      </c>
      <c r="D109" s="23" t="n">
        <v>1923313.72</v>
      </c>
      <c r="E109" s="23" t="n">
        <v>3262</v>
      </c>
      <c r="F109" s="25" t="n">
        <v>589.61</v>
      </c>
      <c r="G109" s="23" t="n">
        <v>6138</v>
      </c>
      <c r="H109" s="25" t="n">
        <v>313.35</v>
      </c>
    </row>
    <row r="110">
      <c r="A110" s="22" t="inlineStr">
        <is>
          <t>PRJ-004</t>
        </is>
      </c>
      <c r="B110" s="22" t="inlineStr">
        <is>
          <t>Primary Healthcare Support - Tharparkar</t>
        </is>
      </c>
      <c r="C110" s="22" t="inlineStr">
        <is>
          <t>Sep-2026</t>
        </is>
      </c>
      <c r="D110" s="23" t="n">
        <v>1772582.1</v>
      </c>
      <c r="E110" s="23" t="n">
        <v>3475</v>
      </c>
      <c r="F110" s="25" t="n">
        <v>510.1</v>
      </c>
      <c r="G110" s="23" t="n">
        <v>5336</v>
      </c>
      <c r="H110" s="25" t="n">
        <v>332.19</v>
      </c>
    </row>
    <row r="111">
      <c r="A111" s="22" t="inlineStr">
        <is>
          <t>PRJ-005</t>
        </is>
      </c>
      <c r="B111" s="22" t="inlineStr">
        <is>
          <t>Flood Response &amp; Health Recovery - Dadu</t>
        </is>
      </c>
      <c r="C111" s="22" t="inlineStr">
        <is>
          <t>Jul-2024</t>
        </is>
      </c>
      <c r="D111" s="23" t="n">
        <v>730136.3100000001</v>
      </c>
      <c r="E111" s="23" t="n">
        <v>2274</v>
      </c>
      <c r="F111" s="25" t="n">
        <v>321.08</v>
      </c>
      <c r="G111" s="23" t="n">
        <v>5022</v>
      </c>
      <c r="H111" s="25" t="n">
        <v>145.39</v>
      </c>
    </row>
    <row r="112">
      <c r="A112" s="22" t="inlineStr">
        <is>
          <t>PRJ-005</t>
        </is>
      </c>
      <c r="B112" s="22" t="inlineStr">
        <is>
          <t>Flood Response &amp; Health Recovery - Dadu</t>
        </is>
      </c>
      <c r="C112" s="22" t="inlineStr">
        <is>
          <t>Aug-2024</t>
        </is>
      </c>
      <c r="D112" s="23" t="n">
        <v>659533.64</v>
      </c>
      <c r="E112" s="23" t="n">
        <v>2872</v>
      </c>
      <c r="F112" s="25" t="n">
        <v>229.64</v>
      </c>
      <c r="G112" s="23" t="n">
        <v>6008</v>
      </c>
      <c r="H112" s="25" t="n">
        <v>109.78</v>
      </c>
    </row>
    <row r="113">
      <c r="A113" s="22" t="inlineStr">
        <is>
          <t>PRJ-005</t>
        </is>
      </c>
      <c r="B113" s="22" t="inlineStr">
        <is>
          <t>Flood Response &amp; Health Recovery - Dadu</t>
        </is>
      </c>
      <c r="C113" s="22" t="inlineStr">
        <is>
          <t>Sep-2024</t>
        </is>
      </c>
      <c r="D113" s="23" t="n">
        <v>867747.46</v>
      </c>
      <c r="E113" s="23" t="n">
        <v>2481</v>
      </c>
      <c r="F113" s="25" t="n">
        <v>349.76</v>
      </c>
      <c r="G113" s="23" t="n">
        <v>3548</v>
      </c>
      <c r="H113" s="25" t="n">
        <v>244.57</v>
      </c>
    </row>
    <row r="114">
      <c r="A114" s="22" t="inlineStr">
        <is>
          <t>PRJ-005</t>
        </is>
      </c>
      <c r="B114" s="22" t="inlineStr">
        <is>
          <t>Flood Response &amp; Health Recovery - Dadu</t>
        </is>
      </c>
      <c r="C114" s="22" t="inlineStr">
        <is>
          <t>Oct-2024</t>
        </is>
      </c>
      <c r="D114" s="23" t="n">
        <v>615622.05</v>
      </c>
      <c r="E114" s="23" t="n">
        <v>2609</v>
      </c>
      <c r="F114" s="25" t="n">
        <v>235.96</v>
      </c>
      <c r="G114" s="23" t="n">
        <v>5280</v>
      </c>
      <c r="H114" s="25" t="n">
        <v>116.6</v>
      </c>
    </row>
    <row r="115">
      <c r="A115" s="22" t="inlineStr">
        <is>
          <t>PRJ-005</t>
        </is>
      </c>
      <c r="B115" s="22" t="inlineStr">
        <is>
          <t>Flood Response &amp; Health Recovery - Dadu</t>
        </is>
      </c>
      <c r="C115" s="22" t="inlineStr">
        <is>
          <t>Nov-2024</t>
        </is>
      </c>
      <c r="D115" s="23" t="n">
        <v>640076.59</v>
      </c>
      <c r="E115" s="23" t="n">
        <v>2900</v>
      </c>
      <c r="F115" s="25" t="n">
        <v>220.72</v>
      </c>
      <c r="G115" s="23" t="n">
        <v>4488</v>
      </c>
      <c r="H115" s="25" t="n">
        <v>142.62</v>
      </c>
    </row>
    <row r="116">
      <c r="A116" s="22" t="inlineStr">
        <is>
          <t>PRJ-005</t>
        </is>
      </c>
      <c r="B116" s="22" t="inlineStr">
        <is>
          <t>Flood Response &amp; Health Recovery - Dadu</t>
        </is>
      </c>
      <c r="C116" s="22" t="inlineStr">
        <is>
          <t>Dec-2024</t>
        </is>
      </c>
      <c r="D116" s="23" t="n">
        <v>617137.78</v>
      </c>
      <c r="E116" s="23" t="n">
        <v>2808</v>
      </c>
      <c r="F116" s="25" t="n">
        <v>219.78</v>
      </c>
      <c r="G116" s="23" t="n">
        <v>5890</v>
      </c>
      <c r="H116" s="25" t="n">
        <v>104.78</v>
      </c>
    </row>
    <row r="117">
      <c r="A117" s="22" t="inlineStr">
        <is>
          <t>PRJ-005</t>
        </is>
      </c>
      <c r="B117" s="22" t="inlineStr">
        <is>
          <t>Flood Response &amp; Health Recovery - Dadu</t>
        </is>
      </c>
      <c r="C117" s="22" t="inlineStr">
        <is>
          <t>Jan-2025</t>
        </is>
      </c>
      <c r="D117" s="23" t="n">
        <v>682379.39</v>
      </c>
      <c r="E117" s="23" t="n">
        <v>1902</v>
      </c>
      <c r="F117" s="25" t="n">
        <v>358.77</v>
      </c>
      <c r="G117" s="23" t="n">
        <v>4037</v>
      </c>
      <c r="H117" s="25" t="n">
        <v>169.03</v>
      </c>
    </row>
    <row r="118">
      <c r="A118" s="22" t="inlineStr">
        <is>
          <t>PRJ-005</t>
        </is>
      </c>
      <c r="B118" s="22" t="inlineStr">
        <is>
          <t>Flood Response &amp; Health Recovery - Dadu</t>
        </is>
      </c>
      <c r="C118" s="22" t="inlineStr">
        <is>
          <t>Feb-2025</t>
        </is>
      </c>
      <c r="D118" s="23" t="n">
        <v>673867.77</v>
      </c>
      <c r="E118" s="23" t="n">
        <v>2156</v>
      </c>
      <c r="F118" s="25" t="n">
        <v>312.55</v>
      </c>
      <c r="G118" s="23" t="n">
        <v>3815</v>
      </c>
      <c r="H118" s="25" t="n">
        <v>176.64</v>
      </c>
    </row>
    <row r="119">
      <c r="A119" s="22" t="inlineStr">
        <is>
          <t>PRJ-005</t>
        </is>
      </c>
      <c r="B119" s="22" t="inlineStr">
        <is>
          <t>Flood Response &amp; Health Recovery - Dadu</t>
        </is>
      </c>
      <c r="C119" s="22" t="inlineStr">
        <is>
          <t>Mar-2025</t>
        </is>
      </c>
      <c r="D119" s="23" t="n">
        <v>537142.42</v>
      </c>
      <c r="E119" s="23" t="n">
        <v>2662</v>
      </c>
      <c r="F119" s="25" t="n">
        <v>201.78</v>
      </c>
      <c r="G119" s="23" t="n">
        <v>4858</v>
      </c>
      <c r="H119" s="25" t="n">
        <v>110.57</v>
      </c>
    </row>
    <row r="120">
      <c r="A120" s="22" t="inlineStr">
        <is>
          <t>PRJ-005</t>
        </is>
      </c>
      <c r="B120" s="22" t="inlineStr">
        <is>
          <t>Flood Response &amp; Health Recovery - Dadu</t>
        </is>
      </c>
      <c r="C120" s="22" t="inlineStr">
        <is>
          <t>Apr-2025</t>
        </is>
      </c>
      <c r="D120" s="23" t="n">
        <v>551477.09</v>
      </c>
      <c r="E120" s="23" t="n">
        <v>2874</v>
      </c>
      <c r="F120" s="25" t="n">
        <v>191.88</v>
      </c>
      <c r="G120" s="23" t="n">
        <v>5185</v>
      </c>
      <c r="H120" s="25" t="n">
        <v>106.36</v>
      </c>
    </row>
    <row r="121">
      <c r="A121" s="22" t="inlineStr">
        <is>
          <t>PRJ-005</t>
        </is>
      </c>
      <c r="B121" s="22" t="inlineStr">
        <is>
          <t>Flood Response &amp; Health Recovery - Dadu</t>
        </is>
      </c>
      <c r="C121" s="22" t="inlineStr">
        <is>
          <t>May-2025</t>
        </is>
      </c>
      <c r="D121" s="23" t="n">
        <v>771834.53</v>
      </c>
      <c r="E121" s="23" t="n">
        <v>2636</v>
      </c>
      <c r="F121" s="25" t="n">
        <v>292.81</v>
      </c>
      <c r="G121" s="23" t="n">
        <v>5504</v>
      </c>
      <c r="H121" s="25" t="n">
        <v>140.23</v>
      </c>
    </row>
    <row r="122">
      <c r="A122" s="22" t="inlineStr">
        <is>
          <t>PRJ-005</t>
        </is>
      </c>
      <c r="B122" s="22" t="inlineStr">
        <is>
          <t>Flood Response &amp; Health Recovery - Dadu</t>
        </is>
      </c>
      <c r="C122" s="22" t="inlineStr">
        <is>
          <t>Jun-2025</t>
        </is>
      </c>
      <c r="D122" s="23" t="n">
        <v>619621.01</v>
      </c>
      <c r="E122" s="23" t="n">
        <v>2046</v>
      </c>
      <c r="F122" s="25" t="n">
        <v>302.85</v>
      </c>
      <c r="G122" s="23" t="n">
        <v>4537</v>
      </c>
      <c r="H122" s="25" t="n">
        <v>136.57</v>
      </c>
    </row>
    <row r="123">
      <c r="A123" s="22" t="inlineStr">
        <is>
          <t>PRJ-005</t>
        </is>
      </c>
      <c r="B123" s="22" t="inlineStr">
        <is>
          <t>Flood Response &amp; Health Recovery - Dadu</t>
        </is>
      </c>
      <c r="C123" s="22" t="inlineStr">
        <is>
          <t>Jul-2025</t>
        </is>
      </c>
      <c r="D123" s="23" t="n">
        <v>808192.13</v>
      </c>
      <c r="E123" s="23" t="n">
        <v>2816</v>
      </c>
      <c r="F123" s="25" t="n">
        <v>287</v>
      </c>
      <c r="G123" s="23" t="n">
        <v>4709</v>
      </c>
      <c r="H123" s="25" t="n">
        <v>171.63</v>
      </c>
    </row>
    <row r="124">
      <c r="A124" s="22" t="inlineStr">
        <is>
          <t>PRJ-005</t>
        </is>
      </c>
      <c r="B124" s="22" t="inlineStr">
        <is>
          <t>Flood Response &amp; Health Recovery - Dadu</t>
        </is>
      </c>
      <c r="C124" s="22" t="inlineStr">
        <is>
          <t>Aug-2025</t>
        </is>
      </c>
      <c r="D124" s="23" t="n">
        <v>902149.49</v>
      </c>
      <c r="E124" s="23" t="n">
        <v>2548</v>
      </c>
      <c r="F124" s="25" t="n">
        <v>354.06</v>
      </c>
      <c r="G124" s="23" t="n">
        <v>3676</v>
      </c>
      <c r="H124" s="25" t="n">
        <v>245.42</v>
      </c>
    </row>
    <row r="125">
      <c r="A125" s="22" t="inlineStr">
        <is>
          <t>PRJ-005</t>
        </is>
      </c>
      <c r="B125" s="22" t="inlineStr">
        <is>
          <t>Flood Response &amp; Health Recovery - Dadu</t>
        </is>
      </c>
      <c r="C125" s="22" t="inlineStr">
        <is>
          <t>Sep-2025</t>
        </is>
      </c>
      <c r="D125" s="23" t="n">
        <v>943978.28</v>
      </c>
      <c r="E125" s="23" t="n">
        <v>3481</v>
      </c>
      <c r="F125" s="25" t="n">
        <v>271.18</v>
      </c>
      <c r="G125" s="23" t="n">
        <v>5670</v>
      </c>
      <c r="H125" s="25" t="n">
        <v>166.49</v>
      </c>
    </row>
    <row r="126">
      <c r="A126" s="22" t="inlineStr">
        <is>
          <t>PRJ-005</t>
        </is>
      </c>
      <c r="B126" s="22" t="inlineStr">
        <is>
          <t>Flood Response &amp; Health Recovery - Dadu</t>
        </is>
      </c>
      <c r="C126" s="22" t="inlineStr">
        <is>
          <t>Oct-2025</t>
        </is>
      </c>
      <c r="D126" s="23" t="n">
        <v>608061.3100000001</v>
      </c>
      <c r="E126" s="23" t="n">
        <v>2885</v>
      </c>
      <c r="F126" s="25" t="n">
        <v>210.77</v>
      </c>
      <c r="G126" s="23" t="n">
        <v>5869</v>
      </c>
      <c r="H126" s="25" t="n">
        <v>103.61</v>
      </c>
    </row>
    <row r="127">
      <c r="A127" s="22" t="inlineStr">
        <is>
          <t>PRJ-005</t>
        </is>
      </c>
      <c r="B127" s="22" t="inlineStr">
        <is>
          <t>Flood Response &amp; Health Recovery - Dadu</t>
        </is>
      </c>
      <c r="C127" s="22" t="inlineStr">
        <is>
          <t>Nov-2025</t>
        </is>
      </c>
      <c r="D127" s="23" t="n">
        <v>725382</v>
      </c>
      <c r="E127" s="23" t="n">
        <v>1998</v>
      </c>
      <c r="F127" s="25" t="n">
        <v>363.05</v>
      </c>
      <c r="G127" s="23" t="n">
        <v>4306</v>
      </c>
      <c r="H127" s="25" t="n">
        <v>168.46</v>
      </c>
    </row>
    <row r="128">
      <c r="A128" s="22" t="inlineStr">
        <is>
          <t>PRJ-005</t>
        </is>
      </c>
      <c r="B128" s="22" t="inlineStr">
        <is>
          <t>Flood Response &amp; Health Recovery - Dadu</t>
        </is>
      </c>
      <c r="C128" s="22" t="inlineStr">
        <is>
          <t>Dec-2025</t>
        </is>
      </c>
      <c r="D128" s="23" t="n">
        <v>673395.98</v>
      </c>
      <c r="E128" s="23" t="n">
        <v>2223</v>
      </c>
      <c r="F128" s="25" t="n">
        <v>302.92</v>
      </c>
      <c r="G128" s="23" t="n">
        <v>4110</v>
      </c>
      <c r="H128" s="25" t="n">
        <v>163.84</v>
      </c>
    </row>
    <row r="129">
      <c r="A129" s="22" t="inlineStr">
        <is>
          <t>PRJ-006</t>
        </is>
      </c>
      <c r="B129" s="22" t="inlineStr">
        <is>
          <t>Rural Health Centre Strengthening - Jamshoro</t>
        </is>
      </c>
      <c r="C129" s="22" t="inlineStr">
        <is>
          <t>Jan-2025</t>
        </is>
      </c>
      <c r="D129" s="23" t="n">
        <v>758874.88</v>
      </c>
      <c r="E129" s="23" t="n">
        <v>1775</v>
      </c>
      <c r="F129" s="25" t="n">
        <v>427.54</v>
      </c>
      <c r="G129" s="23" t="n">
        <v>3081</v>
      </c>
      <c r="H129" s="25" t="n">
        <v>246.31</v>
      </c>
    </row>
    <row r="130">
      <c r="A130" s="22" t="inlineStr">
        <is>
          <t>PRJ-006</t>
        </is>
      </c>
      <c r="B130" s="22" t="inlineStr">
        <is>
          <t>Rural Health Centre Strengthening - Jamshoro</t>
        </is>
      </c>
      <c r="C130" s="22" t="inlineStr">
        <is>
          <t>Feb-2025</t>
        </is>
      </c>
      <c r="D130" s="23" t="n">
        <v>767044.36</v>
      </c>
      <c r="E130" s="23" t="n">
        <v>2463</v>
      </c>
      <c r="F130" s="25" t="n">
        <v>311.43</v>
      </c>
      <c r="G130" s="23" t="n">
        <v>5291</v>
      </c>
      <c r="H130" s="25" t="n">
        <v>144.97</v>
      </c>
    </row>
    <row r="131">
      <c r="A131" s="22" t="inlineStr">
        <is>
          <t>PRJ-006</t>
        </is>
      </c>
      <c r="B131" s="22" t="inlineStr">
        <is>
          <t>Rural Health Centre Strengthening - Jamshoro</t>
        </is>
      </c>
      <c r="C131" s="22" t="inlineStr">
        <is>
          <t>Mar-2025</t>
        </is>
      </c>
      <c r="D131" s="23" t="n">
        <v>438537.71</v>
      </c>
      <c r="E131" s="23" t="n">
        <v>2780</v>
      </c>
      <c r="F131" s="25" t="n">
        <v>157.75</v>
      </c>
      <c r="G131" s="23" t="n">
        <v>6345</v>
      </c>
      <c r="H131" s="25" t="n">
        <v>69.12</v>
      </c>
    </row>
    <row r="132">
      <c r="A132" s="22" t="inlineStr">
        <is>
          <t>PRJ-006</t>
        </is>
      </c>
      <c r="B132" s="22" t="inlineStr">
        <is>
          <t>Rural Health Centre Strengthening - Jamshoro</t>
        </is>
      </c>
      <c r="C132" s="22" t="inlineStr">
        <is>
          <t>Apr-2025</t>
        </is>
      </c>
      <c r="D132" s="23" t="n">
        <v>668349.51</v>
      </c>
      <c r="E132" s="23" t="n">
        <v>2595</v>
      </c>
      <c r="F132" s="25" t="n">
        <v>257.55</v>
      </c>
      <c r="G132" s="23" t="n">
        <v>4133</v>
      </c>
      <c r="H132" s="25" t="n">
        <v>161.71</v>
      </c>
    </row>
    <row r="133">
      <c r="A133" s="22" t="inlineStr">
        <is>
          <t>PRJ-006</t>
        </is>
      </c>
      <c r="B133" s="22" t="inlineStr">
        <is>
          <t>Rural Health Centre Strengthening - Jamshoro</t>
        </is>
      </c>
      <c r="C133" s="22" t="inlineStr">
        <is>
          <t>May-2025</t>
        </is>
      </c>
      <c r="D133" s="23" t="n">
        <v>625433.54</v>
      </c>
      <c r="E133" s="23" t="n">
        <v>2280</v>
      </c>
      <c r="F133" s="25" t="n">
        <v>274.31</v>
      </c>
      <c r="G133" s="23" t="n">
        <v>3672</v>
      </c>
      <c r="H133" s="25" t="n">
        <v>170.33</v>
      </c>
    </row>
    <row r="134">
      <c r="A134" s="22" t="inlineStr">
        <is>
          <t>PRJ-006</t>
        </is>
      </c>
      <c r="B134" s="22" t="inlineStr">
        <is>
          <t>Rural Health Centre Strengthening - Jamshoro</t>
        </is>
      </c>
      <c r="C134" s="22" t="inlineStr">
        <is>
          <t>Jun-2025</t>
        </is>
      </c>
      <c r="D134" s="23" t="n">
        <v>492484.93</v>
      </c>
      <c r="E134" s="23" t="n">
        <v>1799</v>
      </c>
      <c r="F134" s="25" t="n">
        <v>273.75</v>
      </c>
      <c r="G134" s="23" t="n">
        <v>2711</v>
      </c>
      <c r="H134" s="25" t="n">
        <v>181.66</v>
      </c>
    </row>
    <row r="135">
      <c r="A135" s="22" t="inlineStr">
        <is>
          <t>PRJ-006</t>
        </is>
      </c>
      <c r="B135" s="22" t="inlineStr">
        <is>
          <t>Rural Health Centre Strengthening - Jamshoro</t>
        </is>
      </c>
      <c r="C135" s="22" t="inlineStr">
        <is>
          <t>Jul-2025</t>
        </is>
      </c>
      <c r="D135" s="23" t="n">
        <v>700970.38</v>
      </c>
      <c r="E135" s="23" t="n">
        <v>2098</v>
      </c>
      <c r="F135" s="25" t="n">
        <v>334.11</v>
      </c>
      <c r="G135" s="23" t="n">
        <v>3490</v>
      </c>
      <c r="H135" s="25" t="n">
        <v>200.85</v>
      </c>
    </row>
    <row r="136">
      <c r="A136" s="22" t="inlineStr">
        <is>
          <t>PRJ-006</t>
        </is>
      </c>
      <c r="B136" s="22" t="inlineStr">
        <is>
          <t>Rural Health Centre Strengthening - Jamshoro</t>
        </is>
      </c>
      <c r="C136" s="22" t="inlineStr">
        <is>
          <t>Aug-2025</t>
        </is>
      </c>
      <c r="D136" s="23" t="n">
        <v>1136873.45</v>
      </c>
      <c r="E136" s="23" t="n">
        <v>2946</v>
      </c>
      <c r="F136" s="25" t="n">
        <v>385.9</v>
      </c>
      <c r="G136" s="23" t="n">
        <v>5431</v>
      </c>
      <c r="H136" s="25" t="n">
        <v>209.33</v>
      </c>
    </row>
    <row r="137">
      <c r="A137" s="22" t="inlineStr">
        <is>
          <t>PRJ-006</t>
        </is>
      </c>
      <c r="B137" s="22" t="inlineStr">
        <is>
          <t>Rural Health Centre Strengthening - Jamshoro</t>
        </is>
      </c>
      <c r="C137" s="22" t="inlineStr">
        <is>
          <t>Sep-2025</t>
        </is>
      </c>
      <c r="D137" s="23" t="n">
        <v>911098.64</v>
      </c>
      <c r="E137" s="23" t="n">
        <v>2983</v>
      </c>
      <c r="F137" s="25" t="n">
        <v>305.43</v>
      </c>
      <c r="G137" s="23" t="n">
        <v>5656</v>
      </c>
      <c r="H137" s="25" t="n">
        <v>161.09</v>
      </c>
    </row>
    <row r="138">
      <c r="A138" s="22" t="inlineStr">
        <is>
          <t>PRJ-006</t>
        </is>
      </c>
      <c r="B138" s="22" t="inlineStr">
        <is>
          <t>Rural Health Centre Strengthening - Jamshoro</t>
        </is>
      </c>
      <c r="C138" s="22" t="inlineStr">
        <is>
          <t>Oct-2025</t>
        </is>
      </c>
      <c r="D138" s="23" t="n">
        <v>790086.8</v>
      </c>
      <c r="E138" s="23" t="n">
        <v>2099</v>
      </c>
      <c r="F138" s="25" t="n">
        <v>376.41</v>
      </c>
      <c r="G138" s="23" t="n">
        <v>3621</v>
      </c>
      <c r="H138" s="25" t="n">
        <v>218.2</v>
      </c>
    </row>
    <row r="139">
      <c r="A139" s="22" t="inlineStr">
        <is>
          <t>PRJ-006</t>
        </is>
      </c>
      <c r="B139" s="22" t="inlineStr">
        <is>
          <t>Rural Health Centre Strengthening - Jamshoro</t>
        </is>
      </c>
      <c r="C139" s="22" t="inlineStr">
        <is>
          <t>Nov-2025</t>
        </is>
      </c>
      <c r="D139" s="23" t="n">
        <v>538212.03</v>
      </c>
      <c r="E139" s="23" t="n">
        <v>1856</v>
      </c>
      <c r="F139" s="25" t="n">
        <v>289.98</v>
      </c>
      <c r="G139" s="23" t="n">
        <v>3599</v>
      </c>
      <c r="H139" s="25" t="n">
        <v>149.54</v>
      </c>
    </row>
    <row r="140">
      <c r="A140" s="22" t="inlineStr">
        <is>
          <t>PRJ-006</t>
        </is>
      </c>
      <c r="B140" s="22" t="inlineStr">
        <is>
          <t>Rural Health Centre Strengthening - Jamshoro</t>
        </is>
      </c>
      <c r="C140" s="22" t="inlineStr">
        <is>
          <t>Dec-2025</t>
        </is>
      </c>
      <c r="D140" s="23" t="n">
        <v>586464.63</v>
      </c>
      <c r="E140" s="23" t="n">
        <v>1885</v>
      </c>
      <c r="F140" s="25" t="n">
        <v>311.12</v>
      </c>
      <c r="G140" s="23" t="n">
        <v>3509</v>
      </c>
      <c r="H140" s="25" t="n">
        <v>167.13</v>
      </c>
    </row>
    <row r="141">
      <c r="A141" s="22" t="inlineStr">
        <is>
          <t>PRJ-006</t>
        </is>
      </c>
      <c r="B141" s="22" t="inlineStr">
        <is>
          <t>Rural Health Centre Strengthening - Jamshoro</t>
        </is>
      </c>
      <c r="C141" s="22" t="inlineStr">
        <is>
          <t>Jan-2026</t>
        </is>
      </c>
      <c r="D141" s="23" t="n">
        <v>736711.17</v>
      </c>
      <c r="E141" s="23" t="n">
        <v>2443</v>
      </c>
      <c r="F141" s="25" t="n">
        <v>301.56</v>
      </c>
      <c r="G141" s="23" t="n">
        <v>3856</v>
      </c>
      <c r="H141" s="25" t="n">
        <v>191.06</v>
      </c>
    </row>
    <row r="142">
      <c r="A142" s="22" t="inlineStr">
        <is>
          <t>PRJ-006</t>
        </is>
      </c>
      <c r="B142" s="22" t="inlineStr">
        <is>
          <t>Rural Health Centre Strengthening - Jamshoro</t>
        </is>
      </c>
      <c r="C142" s="22" t="inlineStr">
        <is>
          <t>Feb-2026</t>
        </is>
      </c>
      <c r="D142" s="23" t="n">
        <v>932012.61</v>
      </c>
      <c r="E142" s="23" t="n">
        <v>2529</v>
      </c>
      <c r="F142" s="25" t="n">
        <v>368.53</v>
      </c>
      <c r="G142" s="23" t="n">
        <v>3540</v>
      </c>
      <c r="H142" s="25" t="n">
        <v>263.28</v>
      </c>
    </row>
    <row r="143">
      <c r="A143" s="22" t="inlineStr">
        <is>
          <t>PRJ-006</t>
        </is>
      </c>
      <c r="B143" s="22" t="inlineStr">
        <is>
          <t>Rural Health Centre Strengthening - Jamshoro</t>
        </is>
      </c>
      <c r="C143" s="22" t="inlineStr">
        <is>
          <t>Mar-2026</t>
        </is>
      </c>
      <c r="D143" s="23" t="n">
        <v>556778.35</v>
      </c>
      <c r="E143" s="23" t="n">
        <v>1854</v>
      </c>
      <c r="F143" s="25" t="n">
        <v>300.31</v>
      </c>
      <c r="G143" s="23" t="n">
        <v>2924</v>
      </c>
      <c r="H143" s="25" t="n">
        <v>190.42</v>
      </c>
    </row>
    <row r="144">
      <c r="A144" s="22" t="inlineStr">
        <is>
          <t>PRJ-006</t>
        </is>
      </c>
      <c r="B144" s="22" t="inlineStr">
        <is>
          <t>Rural Health Centre Strengthening - Jamshoro</t>
        </is>
      </c>
      <c r="C144" s="22" t="inlineStr">
        <is>
          <t>Apr-2026</t>
        </is>
      </c>
      <c r="D144" s="23" t="n">
        <v>718365.04</v>
      </c>
      <c r="E144" s="23" t="n">
        <v>2236</v>
      </c>
      <c r="F144" s="25" t="n">
        <v>321.27</v>
      </c>
      <c r="G144" s="23" t="n">
        <v>3378</v>
      </c>
      <c r="H144" s="25" t="n">
        <v>212.66</v>
      </c>
    </row>
    <row r="145">
      <c r="A145" s="22" t="inlineStr">
        <is>
          <t>PRJ-006</t>
        </is>
      </c>
      <c r="B145" s="22" t="inlineStr">
        <is>
          <t>Rural Health Centre Strengthening - Jamshoro</t>
        </is>
      </c>
      <c r="C145" s="22" t="inlineStr">
        <is>
          <t>May-2026</t>
        </is>
      </c>
      <c r="D145" s="23" t="n">
        <v>590622.5</v>
      </c>
      <c r="E145" s="23" t="n">
        <v>2595</v>
      </c>
      <c r="F145" s="25" t="n">
        <v>227.6</v>
      </c>
      <c r="G145" s="23" t="n">
        <v>4014</v>
      </c>
      <c r="H145" s="25" t="n">
        <v>147.14</v>
      </c>
    </row>
    <row r="146">
      <c r="A146" s="22" t="inlineStr">
        <is>
          <t>PRJ-006</t>
        </is>
      </c>
      <c r="B146" s="22" t="inlineStr">
        <is>
          <t>Rural Health Centre Strengthening - Jamshoro</t>
        </is>
      </c>
      <c r="C146" s="22" t="inlineStr">
        <is>
          <t>Jun-2026</t>
        </is>
      </c>
      <c r="D146" s="23" t="n">
        <v>623134.8199999999</v>
      </c>
      <c r="E146" s="23" t="n">
        <v>2504</v>
      </c>
      <c r="F146" s="25" t="n">
        <v>248.86</v>
      </c>
      <c r="G146" s="23" t="n">
        <v>5684</v>
      </c>
      <c r="H146" s="25" t="n">
        <v>109.63</v>
      </c>
    </row>
    <row r="147">
      <c r="A147" s="22" t="inlineStr">
        <is>
          <t>PRJ-006</t>
        </is>
      </c>
      <c r="B147" s="22" t="inlineStr">
        <is>
          <t>Rural Health Centre Strengthening - Jamshoro</t>
        </is>
      </c>
      <c r="C147" s="22" t="inlineStr">
        <is>
          <t>Jul-2026</t>
        </is>
      </c>
      <c r="D147" s="23" t="n">
        <v>730711.03</v>
      </c>
      <c r="E147" s="23" t="n">
        <v>2675</v>
      </c>
      <c r="F147" s="25" t="n">
        <v>273.16</v>
      </c>
      <c r="G147" s="23" t="n">
        <v>6063</v>
      </c>
      <c r="H147" s="25" t="n">
        <v>120.52</v>
      </c>
    </row>
    <row r="148">
      <c r="A148" s="22" t="inlineStr">
        <is>
          <t>PRJ-006</t>
        </is>
      </c>
      <c r="B148" s="22" t="inlineStr">
        <is>
          <t>Rural Health Centre Strengthening - Jamshoro</t>
        </is>
      </c>
      <c r="C148" s="22" t="inlineStr">
        <is>
          <t>Aug-2026</t>
        </is>
      </c>
      <c r="D148" s="23" t="n">
        <v>887500.9300000001</v>
      </c>
      <c r="E148" s="23" t="n">
        <v>1927</v>
      </c>
      <c r="F148" s="25" t="n">
        <v>460.56</v>
      </c>
      <c r="G148" s="23" t="n">
        <v>3180</v>
      </c>
      <c r="H148" s="25" t="n">
        <v>279.09</v>
      </c>
    </row>
    <row r="149">
      <c r="A149" s="22" t="inlineStr">
        <is>
          <t>PRJ-006</t>
        </is>
      </c>
      <c r="B149" s="22" t="inlineStr">
        <is>
          <t>Rural Health Centre Strengthening - Jamshoro</t>
        </is>
      </c>
      <c r="C149" s="22" t="inlineStr">
        <is>
          <t>Sep-2026</t>
        </is>
      </c>
      <c r="D149" s="23" t="n">
        <v>781056.42</v>
      </c>
      <c r="E149" s="23" t="n">
        <v>2217</v>
      </c>
      <c r="F149" s="25" t="n">
        <v>352.3</v>
      </c>
      <c r="G149" s="23" t="n">
        <v>3737</v>
      </c>
      <c r="H149" s="25" t="n">
        <v>209.01</v>
      </c>
    </row>
    <row r="150">
      <c r="A150" s="22" t="inlineStr">
        <is>
          <t>PRJ-007</t>
        </is>
      </c>
      <c r="B150" s="22" t="inlineStr">
        <is>
          <t>Community Health Worker Programme - Bin Qasim</t>
        </is>
      </c>
      <c r="C150" s="22" t="inlineStr">
        <is>
          <t>Jul-2024</t>
        </is>
      </c>
      <c r="D150" s="23" t="n">
        <v>565685.3199999999</v>
      </c>
      <c r="E150" s="23" t="n">
        <v>1857</v>
      </c>
      <c r="F150" s="25" t="n">
        <v>304.62</v>
      </c>
      <c r="G150" s="23" t="n">
        <v>3550</v>
      </c>
      <c r="H150" s="25" t="n">
        <v>159.35</v>
      </c>
    </row>
    <row r="151">
      <c r="A151" s="22" t="inlineStr">
        <is>
          <t>PRJ-007</t>
        </is>
      </c>
      <c r="B151" s="22" t="inlineStr">
        <is>
          <t>Community Health Worker Programme - Bin Qasim</t>
        </is>
      </c>
      <c r="C151" s="22" t="inlineStr">
        <is>
          <t>Aug-2024</t>
        </is>
      </c>
      <c r="D151" s="23" t="n">
        <v>533165.28</v>
      </c>
      <c r="E151" s="23" t="n">
        <v>1946</v>
      </c>
      <c r="F151" s="25" t="n">
        <v>273.98</v>
      </c>
      <c r="G151" s="23" t="n">
        <v>4005</v>
      </c>
      <c r="H151" s="25" t="n">
        <v>133.12</v>
      </c>
    </row>
    <row r="152">
      <c r="A152" s="22" t="inlineStr">
        <is>
          <t>PRJ-007</t>
        </is>
      </c>
      <c r="B152" s="22" t="inlineStr">
        <is>
          <t>Community Health Worker Programme - Bin Qasim</t>
        </is>
      </c>
      <c r="C152" s="22" t="inlineStr">
        <is>
          <t>Sep-2024</t>
        </is>
      </c>
      <c r="D152" s="23" t="n">
        <v>638312.03</v>
      </c>
      <c r="E152" s="23" t="n">
        <v>2246</v>
      </c>
      <c r="F152" s="25" t="n">
        <v>284.2</v>
      </c>
      <c r="G152" s="23" t="n">
        <v>4315</v>
      </c>
      <c r="H152" s="25" t="n">
        <v>147.93</v>
      </c>
    </row>
    <row r="153">
      <c r="A153" s="22" t="inlineStr">
        <is>
          <t>PRJ-007</t>
        </is>
      </c>
      <c r="B153" s="22" t="inlineStr">
        <is>
          <t>Community Health Worker Programme - Bin Qasim</t>
        </is>
      </c>
      <c r="C153" s="22" t="inlineStr">
        <is>
          <t>Oct-2024</t>
        </is>
      </c>
      <c r="D153" s="23" t="n">
        <v>481988.58</v>
      </c>
      <c r="E153" s="23" t="n">
        <v>1971</v>
      </c>
      <c r="F153" s="25" t="n">
        <v>244.54</v>
      </c>
      <c r="G153" s="23" t="n">
        <v>3962</v>
      </c>
      <c r="H153" s="25" t="n">
        <v>121.65</v>
      </c>
    </row>
    <row r="154">
      <c r="A154" s="22" t="inlineStr">
        <is>
          <t>PRJ-007</t>
        </is>
      </c>
      <c r="B154" s="22" t="inlineStr">
        <is>
          <t>Community Health Worker Programme - Bin Qasim</t>
        </is>
      </c>
      <c r="C154" s="22" t="inlineStr">
        <is>
          <t>Nov-2024</t>
        </is>
      </c>
      <c r="D154" s="23" t="n">
        <v>304254.5</v>
      </c>
      <c r="E154" s="23" t="n">
        <v>1605</v>
      </c>
      <c r="F154" s="25" t="n">
        <v>189.57</v>
      </c>
      <c r="G154" s="23" t="n">
        <v>2339</v>
      </c>
      <c r="H154" s="25" t="n">
        <v>130.08</v>
      </c>
    </row>
    <row r="155">
      <c r="A155" s="22" t="inlineStr">
        <is>
          <t>PRJ-007</t>
        </is>
      </c>
      <c r="B155" s="22" t="inlineStr">
        <is>
          <t>Community Health Worker Programme - Bin Qasim</t>
        </is>
      </c>
      <c r="C155" s="22" t="inlineStr">
        <is>
          <t>Dec-2024</t>
        </is>
      </c>
      <c r="D155" s="23" t="n">
        <v>511004.07</v>
      </c>
      <c r="E155" s="23" t="n">
        <v>1893</v>
      </c>
      <c r="F155" s="25" t="n">
        <v>269.94</v>
      </c>
      <c r="G155" s="23" t="n">
        <v>3653</v>
      </c>
      <c r="H155" s="25" t="n">
        <v>139.89</v>
      </c>
    </row>
    <row r="156">
      <c r="A156" s="22" t="inlineStr">
        <is>
          <t>PRJ-007</t>
        </is>
      </c>
      <c r="B156" s="22" t="inlineStr">
        <is>
          <t>Community Health Worker Programme - Bin Qasim</t>
        </is>
      </c>
      <c r="C156" s="22" t="inlineStr">
        <is>
          <t>Jan-2025</t>
        </is>
      </c>
      <c r="D156" s="23" t="n">
        <v>493514.09</v>
      </c>
      <c r="E156" s="23" t="n">
        <v>1851</v>
      </c>
      <c r="F156" s="25" t="n">
        <v>266.62</v>
      </c>
      <c r="G156" s="23" t="n">
        <v>2803</v>
      </c>
      <c r="H156" s="25" t="n">
        <v>176.07</v>
      </c>
    </row>
    <row r="157">
      <c r="A157" s="22" t="inlineStr">
        <is>
          <t>PRJ-007</t>
        </is>
      </c>
      <c r="B157" s="22" t="inlineStr">
        <is>
          <t>Community Health Worker Programme - Bin Qasim</t>
        </is>
      </c>
      <c r="C157" s="22" t="inlineStr">
        <is>
          <t>Feb-2025</t>
        </is>
      </c>
      <c r="D157" s="23" t="n">
        <v>665753.5</v>
      </c>
      <c r="E157" s="23" t="n">
        <v>2123</v>
      </c>
      <c r="F157" s="25" t="n">
        <v>313.59</v>
      </c>
      <c r="G157" s="23" t="n">
        <v>3150</v>
      </c>
      <c r="H157" s="25" t="n">
        <v>211.35</v>
      </c>
    </row>
    <row r="158">
      <c r="A158" s="22" t="inlineStr">
        <is>
          <t>PRJ-007</t>
        </is>
      </c>
      <c r="B158" s="22" t="inlineStr">
        <is>
          <t>Community Health Worker Programme - Bin Qasim</t>
        </is>
      </c>
      <c r="C158" s="22" t="inlineStr">
        <is>
          <t>Mar-2025</t>
        </is>
      </c>
      <c r="D158" s="23" t="n">
        <v>471917.35</v>
      </c>
      <c r="E158" s="23" t="n">
        <v>1657</v>
      </c>
      <c r="F158" s="25" t="n">
        <v>284.8</v>
      </c>
      <c r="G158" s="23" t="n">
        <v>3095</v>
      </c>
      <c r="H158" s="25" t="n">
        <v>152.48</v>
      </c>
    </row>
    <row r="159">
      <c r="A159" s="22" t="inlineStr">
        <is>
          <t>PRJ-007</t>
        </is>
      </c>
      <c r="B159" s="22" t="inlineStr">
        <is>
          <t>Community Health Worker Programme - Bin Qasim</t>
        </is>
      </c>
      <c r="C159" s="22" t="inlineStr">
        <is>
          <t>Apr-2025</t>
        </is>
      </c>
      <c r="D159" s="23" t="n">
        <v>499565.6</v>
      </c>
      <c r="E159" s="23" t="n">
        <v>1541</v>
      </c>
      <c r="F159" s="25" t="n">
        <v>324.18</v>
      </c>
      <c r="G159" s="23" t="n">
        <v>2648</v>
      </c>
      <c r="H159" s="25" t="n">
        <v>188.66</v>
      </c>
    </row>
    <row r="160">
      <c r="A160" s="22" t="inlineStr">
        <is>
          <t>PRJ-007</t>
        </is>
      </c>
      <c r="B160" s="22" t="inlineStr">
        <is>
          <t>Community Health Worker Programme - Bin Qasim</t>
        </is>
      </c>
      <c r="C160" s="22" t="inlineStr">
        <is>
          <t>May-2025</t>
        </is>
      </c>
      <c r="D160" s="23" t="n">
        <v>399852.31</v>
      </c>
      <c r="E160" s="23" t="n">
        <v>2171</v>
      </c>
      <c r="F160" s="25" t="n">
        <v>184.18</v>
      </c>
      <c r="G160" s="23" t="n">
        <v>3814</v>
      </c>
      <c r="H160" s="25" t="n">
        <v>104.84</v>
      </c>
    </row>
    <row r="161">
      <c r="A161" s="22" t="inlineStr">
        <is>
          <t>PRJ-007</t>
        </is>
      </c>
      <c r="B161" s="22" t="inlineStr">
        <is>
          <t>Community Health Worker Programme - Bin Qasim</t>
        </is>
      </c>
      <c r="C161" s="22" t="inlineStr">
        <is>
          <t>Jun-2025</t>
        </is>
      </c>
      <c r="D161" s="23" t="n">
        <v>506847.7</v>
      </c>
      <c r="E161" s="23" t="n">
        <v>1857</v>
      </c>
      <c r="F161" s="25" t="n">
        <v>272.94</v>
      </c>
      <c r="G161" s="23" t="n">
        <v>2934</v>
      </c>
      <c r="H161" s="25" t="n">
        <v>172.75</v>
      </c>
    </row>
    <row r="162">
      <c r="A162" s="22" t="inlineStr">
        <is>
          <t>PRJ-007</t>
        </is>
      </c>
      <c r="B162" s="22" t="inlineStr">
        <is>
          <t>Community Health Worker Programme - Bin Qasim</t>
        </is>
      </c>
      <c r="C162" s="22" t="inlineStr">
        <is>
          <t>Jul-2025</t>
        </is>
      </c>
      <c r="D162" s="23" t="n">
        <v>576082.1800000001</v>
      </c>
      <c r="E162" s="23" t="n">
        <v>2051</v>
      </c>
      <c r="F162" s="25" t="n">
        <v>280.88</v>
      </c>
      <c r="G162" s="23" t="n">
        <v>3937</v>
      </c>
      <c r="H162" s="25" t="n">
        <v>146.33</v>
      </c>
    </row>
    <row r="163">
      <c r="A163" s="22" t="inlineStr">
        <is>
          <t>PRJ-007</t>
        </is>
      </c>
      <c r="B163" s="22" t="inlineStr">
        <is>
          <t>Community Health Worker Programme - Bin Qasim</t>
        </is>
      </c>
      <c r="C163" s="22" t="inlineStr">
        <is>
          <t>Aug-2025</t>
        </is>
      </c>
      <c r="D163" s="23" t="n">
        <v>986584.88</v>
      </c>
      <c r="E163" s="23" t="n">
        <v>3027</v>
      </c>
      <c r="F163" s="25" t="n">
        <v>325.93</v>
      </c>
      <c r="G163" s="23" t="n">
        <v>5804</v>
      </c>
      <c r="H163" s="25" t="n">
        <v>169.98</v>
      </c>
    </row>
    <row r="164">
      <c r="A164" s="22" t="inlineStr">
        <is>
          <t>PRJ-007</t>
        </is>
      </c>
      <c r="B164" s="22" t="inlineStr">
        <is>
          <t>Community Health Worker Programme - Bin Qasim</t>
        </is>
      </c>
      <c r="C164" s="22" t="inlineStr">
        <is>
          <t>Sep-2025</t>
        </is>
      </c>
      <c r="D164" s="23" t="n">
        <v>563689.38</v>
      </c>
      <c r="E164" s="23" t="n">
        <v>2784</v>
      </c>
      <c r="F164" s="25" t="n">
        <v>202.47</v>
      </c>
      <c r="G164" s="23" t="n">
        <v>5748</v>
      </c>
      <c r="H164" s="25" t="n">
        <v>98.06999999999999</v>
      </c>
    </row>
    <row r="165">
      <c r="A165" s="22" t="inlineStr">
        <is>
          <t>PRJ-007</t>
        </is>
      </c>
      <c r="B165" s="22" t="inlineStr">
        <is>
          <t>Community Health Worker Programme - Bin Qasim</t>
        </is>
      </c>
      <c r="C165" s="22" t="inlineStr">
        <is>
          <t>Oct-2025</t>
        </is>
      </c>
      <c r="D165" s="23" t="n">
        <v>524557.1899999999</v>
      </c>
      <c r="E165" s="23" t="n">
        <v>2258</v>
      </c>
      <c r="F165" s="25" t="n">
        <v>232.31</v>
      </c>
      <c r="G165" s="23" t="n">
        <v>4376</v>
      </c>
      <c r="H165" s="25" t="n">
        <v>119.87</v>
      </c>
    </row>
    <row r="166">
      <c r="A166" s="22" t="inlineStr">
        <is>
          <t>PRJ-007</t>
        </is>
      </c>
      <c r="B166" s="22" t="inlineStr">
        <is>
          <t>Community Health Worker Programme - Bin Qasim</t>
        </is>
      </c>
      <c r="C166" s="22" t="inlineStr">
        <is>
          <t>Nov-2025</t>
        </is>
      </c>
      <c r="D166" s="23" t="n">
        <v>609508.65</v>
      </c>
      <c r="E166" s="23" t="n">
        <v>1746</v>
      </c>
      <c r="F166" s="25" t="n">
        <v>349.09</v>
      </c>
      <c r="G166" s="23" t="n">
        <v>3209</v>
      </c>
      <c r="H166" s="25" t="n">
        <v>189.94</v>
      </c>
    </row>
    <row r="167">
      <c r="A167" s="22" t="inlineStr">
        <is>
          <t>PRJ-007</t>
        </is>
      </c>
      <c r="B167" s="22" t="inlineStr">
        <is>
          <t>Community Health Worker Programme - Bin Qasim</t>
        </is>
      </c>
      <c r="C167" s="22" t="inlineStr">
        <is>
          <t>Dec-2025</t>
        </is>
      </c>
      <c r="D167" s="23" t="n">
        <v>608995.75</v>
      </c>
      <c r="E167" s="23" t="n">
        <v>1742</v>
      </c>
      <c r="F167" s="25" t="n">
        <v>349.6</v>
      </c>
      <c r="G167" s="23" t="n">
        <v>3344</v>
      </c>
      <c r="H167" s="25" t="n">
        <v>182.12</v>
      </c>
    </row>
    <row r="168">
      <c r="A168" s="22" t="inlineStr">
        <is>
          <t>PRJ-007</t>
        </is>
      </c>
      <c r="B168" s="22" t="inlineStr">
        <is>
          <t>Community Health Worker Programme - Bin Qasim</t>
        </is>
      </c>
      <c r="C168" s="22" t="inlineStr">
        <is>
          <t>Jan-2026</t>
        </is>
      </c>
      <c r="D168" s="23" t="n">
        <v>636290.49</v>
      </c>
      <c r="E168" s="23" t="n">
        <v>2121</v>
      </c>
      <c r="F168" s="25" t="n">
        <v>300</v>
      </c>
      <c r="G168" s="23" t="n">
        <v>3475</v>
      </c>
      <c r="H168" s="25" t="n">
        <v>183.11</v>
      </c>
    </row>
    <row r="169">
      <c r="A169" s="22" t="inlineStr">
        <is>
          <t>PRJ-007</t>
        </is>
      </c>
      <c r="B169" s="22" t="inlineStr">
        <is>
          <t>Community Health Worker Programme - Bin Qasim</t>
        </is>
      </c>
      <c r="C169" s="22" t="inlineStr">
        <is>
          <t>Feb-2026</t>
        </is>
      </c>
      <c r="D169" s="23" t="n">
        <v>537449.24</v>
      </c>
      <c r="E169" s="23" t="n">
        <v>2271</v>
      </c>
      <c r="F169" s="25" t="n">
        <v>236.66</v>
      </c>
      <c r="G169" s="23" t="n">
        <v>4646</v>
      </c>
      <c r="H169" s="25" t="n">
        <v>115.68</v>
      </c>
    </row>
    <row r="170">
      <c r="A170" s="22" t="inlineStr">
        <is>
          <t>PRJ-007</t>
        </is>
      </c>
      <c r="B170" s="22" t="inlineStr">
        <is>
          <t>Community Health Worker Programme - Bin Qasim</t>
        </is>
      </c>
      <c r="C170" s="22" t="inlineStr">
        <is>
          <t>Mar-2026</t>
        </is>
      </c>
      <c r="D170" s="23" t="n">
        <v>475259.52</v>
      </c>
      <c r="E170" s="23" t="n">
        <v>1267</v>
      </c>
      <c r="F170" s="25" t="n">
        <v>375.11</v>
      </c>
      <c r="G170" s="23" t="n">
        <v>2717</v>
      </c>
      <c r="H170" s="25" t="n">
        <v>174.92</v>
      </c>
    </row>
    <row r="171">
      <c r="A171" s="22" t="inlineStr">
        <is>
          <t>PRJ-007</t>
        </is>
      </c>
      <c r="B171" s="22" t="inlineStr">
        <is>
          <t>Community Health Worker Programme - Bin Qasim</t>
        </is>
      </c>
      <c r="C171" s="22" t="inlineStr">
        <is>
          <t>Apr-2026</t>
        </is>
      </c>
      <c r="D171" s="23" t="n">
        <v>446644.6</v>
      </c>
      <c r="E171" s="23" t="n">
        <v>1593</v>
      </c>
      <c r="F171" s="25" t="n">
        <v>280.38</v>
      </c>
      <c r="G171" s="23" t="n">
        <v>2765</v>
      </c>
      <c r="H171" s="25" t="n">
        <v>161.54</v>
      </c>
    </row>
    <row r="172">
      <c r="A172" s="22" t="inlineStr">
        <is>
          <t>PRJ-007</t>
        </is>
      </c>
      <c r="B172" s="22" t="inlineStr">
        <is>
          <t>Community Health Worker Programme - Bin Qasim</t>
        </is>
      </c>
      <c r="C172" s="22" t="inlineStr">
        <is>
          <t>May-2026</t>
        </is>
      </c>
      <c r="D172" s="23" t="n">
        <v>509771.65</v>
      </c>
      <c r="E172" s="23" t="n">
        <v>2181</v>
      </c>
      <c r="F172" s="25" t="n">
        <v>233.73</v>
      </c>
      <c r="G172" s="23" t="n">
        <v>4102</v>
      </c>
      <c r="H172" s="25" t="n">
        <v>124.27</v>
      </c>
    </row>
    <row r="173">
      <c r="A173" s="22" t="inlineStr">
        <is>
          <t>PRJ-007</t>
        </is>
      </c>
      <c r="B173" s="22" t="inlineStr">
        <is>
          <t>Community Health Worker Programme - Bin Qasim</t>
        </is>
      </c>
      <c r="C173" s="22" t="inlineStr">
        <is>
          <t>Jun-2026</t>
        </is>
      </c>
      <c r="D173" s="23" t="n">
        <v>560909.9300000001</v>
      </c>
      <c r="E173" s="23" t="n">
        <v>1828</v>
      </c>
      <c r="F173" s="25" t="n">
        <v>306.84</v>
      </c>
      <c r="G173" s="23" t="n">
        <v>3502</v>
      </c>
      <c r="H173" s="25" t="n">
        <v>160.17</v>
      </c>
    </row>
    <row r="174">
      <c r="A174" s="22" t="inlineStr">
        <is>
          <t>PRJ-008</t>
        </is>
      </c>
      <c r="B174" s="22" t="inlineStr">
        <is>
          <t>Emergency Obstetric Care - Lyari</t>
        </is>
      </c>
      <c r="C174" s="22" t="inlineStr">
        <is>
          <t>Jan-2025</t>
        </is>
      </c>
      <c r="D174" s="23" t="n">
        <v>866693.04</v>
      </c>
      <c r="E174" s="23" t="n">
        <v>2562</v>
      </c>
      <c r="F174" s="25" t="n">
        <v>338.29</v>
      </c>
      <c r="G174" s="23" t="n">
        <v>3809</v>
      </c>
      <c r="H174" s="25" t="n">
        <v>227.54</v>
      </c>
    </row>
    <row r="175">
      <c r="A175" s="22" t="inlineStr">
        <is>
          <t>PRJ-008</t>
        </is>
      </c>
      <c r="B175" s="22" t="inlineStr">
        <is>
          <t>Emergency Obstetric Care - Lyari</t>
        </is>
      </c>
      <c r="C175" s="22" t="inlineStr">
        <is>
          <t>Feb-2025</t>
        </is>
      </c>
      <c r="D175" s="23" t="n">
        <v>803623.96</v>
      </c>
      <c r="E175" s="23" t="n">
        <v>2147</v>
      </c>
      <c r="F175" s="25" t="n">
        <v>374.3</v>
      </c>
      <c r="G175" s="23" t="n">
        <v>4037</v>
      </c>
      <c r="H175" s="25" t="n">
        <v>199.06</v>
      </c>
    </row>
    <row r="176">
      <c r="A176" s="22" t="inlineStr">
        <is>
          <t>PRJ-008</t>
        </is>
      </c>
      <c r="B176" s="22" t="inlineStr">
        <is>
          <t>Emergency Obstetric Care - Lyari</t>
        </is>
      </c>
      <c r="C176" s="22" t="inlineStr">
        <is>
          <t>Mar-2025</t>
        </is>
      </c>
      <c r="D176" s="23" t="n">
        <v>788131.35</v>
      </c>
      <c r="E176" s="23" t="n">
        <v>1927</v>
      </c>
      <c r="F176" s="25" t="n">
        <v>408.99</v>
      </c>
      <c r="G176" s="23" t="n">
        <v>3635</v>
      </c>
      <c r="H176" s="25" t="n">
        <v>216.82</v>
      </c>
    </row>
    <row r="177">
      <c r="A177" s="22" t="inlineStr">
        <is>
          <t>PRJ-008</t>
        </is>
      </c>
      <c r="B177" s="22" t="inlineStr">
        <is>
          <t>Emergency Obstetric Care - Lyari</t>
        </is>
      </c>
      <c r="C177" s="22" t="inlineStr">
        <is>
          <t>Apr-2025</t>
        </is>
      </c>
      <c r="D177" s="23" t="n">
        <v>569468.61</v>
      </c>
      <c r="E177" s="23" t="n">
        <v>1832</v>
      </c>
      <c r="F177" s="25" t="n">
        <v>310.85</v>
      </c>
      <c r="G177" s="23" t="n">
        <v>2595</v>
      </c>
      <c r="H177" s="25" t="n">
        <v>219.45</v>
      </c>
    </row>
    <row r="178">
      <c r="A178" s="22" t="inlineStr">
        <is>
          <t>PRJ-008</t>
        </is>
      </c>
      <c r="B178" s="22" t="inlineStr">
        <is>
          <t>Emergency Obstetric Care - Lyari</t>
        </is>
      </c>
      <c r="C178" s="22" t="inlineStr">
        <is>
          <t>May-2025</t>
        </is>
      </c>
      <c r="D178" s="23" t="n">
        <v>626874.15</v>
      </c>
      <c r="E178" s="23" t="n">
        <v>2374</v>
      </c>
      <c r="F178" s="25" t="n">
        <v>264.06</v>
      </c>
      <c r="G178" s="23" t="n">
        <v>4529</v>
      </c>
      <c r="H178" s="25" t="n">
        <v>138.41</v>
      </c>
    </row>
    <row r="179">
      <c r="A179" s="22" t="inlineStr">
        <is>
          <t>PRJ-008</t>
        </is>
      </c>
      <c r="B179" s="22" t="inlineStr">
        <is>
          <t>Emergency Obstetric Care - Lyari</t>
        </is>
      </c>
      <c r="C179" s="22" t="inlineStr">
        <is>
          <t>Jun-2025</t>
        </is>
      </c>
      <c r="D179" s="23" t="n">
        <v>671660.16</v>
      </c>
      <c r="E179" s="23" t="n">
        <v>1840</v>
      </c>
      <c r="F179" s="25" t="n">
        <v>365.03</v>
      </c>
      <c r="G179" s="23" t="n">
        <v>3065</v>
      </c>
      <c r="H179" s="25" t="n">
        <v>219.14</v>
      </c>
    </row>
    <row r="180">
      <c r="A180" s="22" t="inlineStr">
        <is>
          <t>PRJ-008</t>
        </is>
      </c>
      <c r="B180" s="22" t="inlineStr">
        <is>
          <t>Emergency Obstetric Care - Lyari</t>
        </is>
      </c>
      <c r="C180" s="22" t="inlineStr">
        <is>
          <t>Jul-2025</t>
        </is>
      </c>
      <c r="D180" s="23" t="n">
        <v>857841.08</v>
      </c>
      <c r="E180" s="23" t="n">
        <v>1748</v>
      </c>
      <c r="F180" s="25" t="n">
        <v>490.76</v>
      </c>
      <c r="G180" s="23" t="n">
        <v>3343</v>
      </c>
      <c r="H180" s="25" t="n">
        <v>256.61</v>
      </c>
    </row>
    <row r="181">
      <c r="A181" s="22" t="inlineStr">
        <is>
          <t>PRJ-008</t>
        </is>
      </c>
      <c r="B181" s="22" t="inlineStr">
        <is>
          <t>Emergency Obstetric Care - Lyari</t>
        </is>
      </c>
      <c r="C181" s="22" t="inlineStr">
        <is>
          <t>Aug-2025</t>
        </is>
      </c>
      <c r="D181" s="23" t="n">
        <v>1128228.44</v>
      </c>
      <c r="E181" s="23" t="n">
        <v>2685</v>
      </c>
      <c r="F181" s="25" t="n">
        <v>420.2</v>
      </c>
      <c r="G181" s="23" t="n">
        <v>5979</v>
      </c>
      <c r="H181" s="25" t="n">
        <v>188.7</v>
      </c>
    </row>
    <row r="182">
      <c r="A182" s="22" t="inlineStr">
        <is>
          <t>PRJ-008</t>
        </is>
      </c>
      <c r="B182" s="22" t="inlineStr">
        <is>
          <t>Emergency Obstetric Care - Lyari</t>
        </is>
      </c>
      <c r="C182" s="22" t="inlineStr">
        <is>
          <t>Sep-2025</t>
        </is>
      </c>
      <c r="D182" s="23" t="n">
        <v>1103379.45</v>
      </c>
      <c r="E182" s="23" t="n">
        <v>3388</v>
      </c>
      <c r="F182" s="25" t="n">
        <v>325.67</v>
      </c>
      <c r="G182" s="23" t="n">
        <v>4795</v>
      </c>
      <c r="H182" s="25" t="n">
        <v>230.11</v>
      </c>
    </row>
    <row r="183">
      <c r="A183" s="22" t="inlineStr">
        <is>
          <t>PRJ-008</t>
        </is>
      </c>
      <c r="B183" s="22" t="inlineStr">
        <is>
          <t>Emergency Obstetric Care - Lyari</t>
        </is>
      </c>
      <c r="C183" s="22" t="inlineStr">
        <is>
          <t>Oct-2025</t>
        </is>
      </c>
      <c r="D183" s="23" t="n">
        <v>664179.38</v>
      </c>
      <c r="E183" s="23" t="n">
        <v>1696</v>
      </c>
      <c r="F183" s="25" t="n">
        <v>391.62</v>
      </c>
      <c r="G183" s="23" t="n">
        <v>2541</v>
      </c>
      <c r="H183" s="25" t="n">
        <v>261.39</v>
      </c>
    </row>
    <row r="184">
      <c r="A184" s="22" t="inlineStr">
        <is>
          <t>PRJ-008</t>
        </is>
      </c>
      <c r="B184" s="22" t="inlineStr">
        <is>
          <t>Emergency Obstetric Care - Lyari</t>
        </is>
      </c>
      <c r="C184" s="22" t="inlineStr">
        <is>
          <t>Nov-2025</t>
        </is>
      </c>
      <c r="D184" s="23" t="n">
        <v>696919.48</v>
      </c>
      <c r="E184" s="23" t="n">
        <v>2602</v>
      </c>
      <c r="F184" s="25" t="n">
        <v>267.84</v>
      </c>
      <c r="G184" s="23" t="n">
        <v>4382</v>
      </c>
      <c r="H184" s="25" t="n">
        <v>159.04</v>
      </c>
    </row>
    <row r="185">
      <c r="A185" s="22" t="inlineStr">
        <is>
          <t>PRJ-008</t>
        </is>
      </c>
      <c r="B185" s="22" t="inlineStr">
        <is>
          <t>Emergency Obstetric Care - Lyari</t>
        </is>
      </c>
      <c r="C185" s="22" t="inlineStr">
        <is>
          <t>Dec-2025</t>
        </is>
      </c>
      <c r="D185" s="23" t="n">
        <v>814311.36</v>
      </c>
      <c r="E185" s="23" t="n">
        <v>2078</v>
      </c>
      <c r="F185" s="25" t="n">
        <v>391.87</v>
      </c>
      <c r="G185" s="23" t="n">
        <v>4137</v>
      </c>
      <c r="H185" s="25" t="n">
        <v>196.84</v>
      </c>
    </row>
    <row r="186">
      <c r="A186" s="22" t="inlineStr">
        <is>
          <t>PRJ-008</t>
        </is>
      </c>
      <c r="B186" s="22" t="inlineStr">
        <is>
          <t>Emergency Obstetric Care - Lyari</t>
        </is>
      </c>
      <c r="C186" s="22" t="inlineStr">
        <is>
          <t>Jan-2026</t>
        </is>
      </c>
      <c r="D186" s="23" t="n">
        <v>838843.35</v>
      </c>
      <c r="E186" s="23" t="n">
        <v>1919</v>
      </c>
      <c r="F186" s="25" t="n">
        <v>437.13</v>
      </c>
      <c r="G186" s="23" t="n">
        <v>3573</v>
      </c>
      <c r="H186" s="25" t="n">
        <v>234.77</v>
      </c>
    </row>
    <row r="187">
      <c r="A187" s="22" t="inlineStr">
        <is>
          <t>PRJ-008</t>
        </is>
      </c>
      <c r="B187" s="22" t="inlineStr">
        <is>
          <t>Emergency Obstetric Care - Lyari</t>
        </is>
      </c>
      <c r="C187" s="22" t="inlineStr">
        <is>
          <t>Feb-2026</t>
        </is>
      </c>
      <c r="D187" s="23" t="n">
        <v>862715.09</v>
      </c>
      <c r="E187" s="23" t="n">
        <v>1742</v>
      </c>
      <c r="F187" s="25" t="n">
        <v>495.24</v>
      </c>
      <c r="G187" s="23" t="n">
        <v>3064</v>
      </c>
      <c r="H187" s="25" t="n">
        <v>281.56</v>
      </c>
    </row>
    <row r="188">
      <c r="A188" s="22" t="inlineStr">
        <is>
          <t>PRJ-008</t>
        </is>
      </c>
      <c r="B188" s="22" t="inlineStr">
        <is>
          <t>Emergency Obstetric Care - Lyari</t>
        </is>
      </c>
      <c r="C188" s="22" t="inlineStr">
        <is>
          <t>Mar-2026</t>
        </is>
      </c>
      <c r="D188" s="23" t="n">
        <v>686886.55</v>
      </c>
      <c r="E188" s="23" t="n">
        <v>1330</v>
      </c>
      <c r="F188" s="25" t="n">
        <v>516.46</v>
      </c>
      <c r="G188" s="23" t="n">
        <v>2799</v>
      </c>
      <c r="H188" s="25" t="n">
        <v>245.4</v>
      </c>
    </row>
    <row r="189">
      <c r="A189" s="22" t="inlineStr">
        <is>
          <t>PRJ-008</t>
        </is>
      </c>
      <c r="B189" s="22" t="inlineStr">
        <is>
          <t>Emergency Obstetric Care - Lyari</t>
        </is>
      </c>
      <c r="C189" s="22" t="inlineStr">
        <is>
          <t>Apr-2026</t>
        </is>
      </c>
      <c r="D189" s="23" t="n">
        <v>681385.48</v>
      </c>
      <c r="E189" s="23" t="n">
        <v>1979</v>
      </c>
      <c r="F189" s="25" t="n">
        <v>344.31</v>
      </c>
      <c r="G189" s="23" t="n">
        <v>4421</v>
      </c>
      <c r="H189" s="25" t="n">
        <v>154.12</v>
      </c>
    </row>
    <row r="190">
      <c r="A190" s="22" t="inlineStr">
        <is>
          <t>PRJ-008</t>
        </is>
      </c>
      <c r="B190" s="22" t="inlineStr">
        <is>
          <t>Emergency Obstetric Care - Lyari</t>
        </is>
      </c>
      <c r="C190" s="22" t="inlineStr">
        <is>
          <t>May-2026</t>
        </is>
      </c>
      <c r="D190" s="23" t="n">
        <v>658784.53</v>
      </c>
      <c r="E190" s="23" t="n">
        <v>2073</v>
      </c>
      <c r="F190" s="25" t="n">
        <v>317.79</v>
      </c>
      <c r="G190" s="23" t="n">
        <v>3199</v>
      </c>
      <c r="H190" s="25" t="n">
        <v>205.93</v>
      </c>
    </row>
    <row r="191">
      <c r="A191" s="22" t="inlineStr">
        <is>
          <t>PRJ-008</t>
        </is>
      </c>
      <c r="B191" s="22" t="inlineStr">
        <is>
          <t>Emergency Obstetric Care - Lyari</t>
        </is>
      </c>
      <c r="C191" s="22" t="inlineStr">
        <is>
          <t>Jun-2026</t>
        </is>
      </c>
      <c r="D191" s="23" t="n">
        <v>694555.64</v>
      </c>
      <c r="E191" s="23" t="n">
        <v>2271</v>
      </c>
      <c r="F191" s="25" t="n">
        <v>305.84</v>
      </c>
      <c r="G191" s="23" t="n">
        <v>3832</v>
      </c>
      <c r="H191" s="25" t="n">
        <v>181.25</v>
      </c>
    </row>
    <row r="192">
      <c r="A192" s="22" t="inlineStr">
        <is>
          <t>PRJ-008</t>
        </is>
      </c>
      <c r="B192" s="22" t="inlineStr">
        <is>
          <t>Emergency Obstetric Care - Lyari</t>
        </is>
      </c>
      <c r="C192" s="22" t="inlineStr">
        <is>
          <t>Jul-2026</t>
        </is>
      </c>
      <c r="D192" s="23" t="n">
        <v>901103.98</v>
      </c>
      <c r="E192" s="23" t="n">
        <v>2951</v>
      </c>
      <c r="F192" s="25" t="n">
        <v>305.36</v>
      </c>
      <c r="G192" s="23" t="n">
        <v>5651</v>
      </c>
      <c r="H192" s="25" t="n">
        <v>159.46</v>
      </c>
    </row>
    <row r="193">
      <c r="A193" s="22" t="inlineStr">
        <is>
          <t>PRJ-008</t>
        </is>
      </c>
      <c r="B193" s="22" t="inlineStr">
        <is>
          <t>Emergency Obstetric Care - Lyari</t>
        </is>
      </c>
      <c r="C193" s="22" t="inlineStr">
        <is>
          <t>Aug-2026</t>
        </is>
      </c>
      <c r="D193" s="23" t="n">
        <v>922335.13</v>
      </c>
      <c r="E193" s="23" t="n">
        <v>2302</v>
      </c>
      <c r="F193" s="25" t="n">
        <v>400.67</v>
      </c>
      <c r="G193" s="23" t="n">
        <v>4245</v>
      </c>
      <c r="H193" s="25" t="n">
        <v>217.28</v>
      </c>
    </row>
    <row r="194">
      <c r="A194" s="22" t="inlineStr">
        <is>
          <t>PRJ-008</t>
        </is>
      </c>
      <c r="B194" s="22" t="inlineStr">
        <is>
          <t>Emergency Obstetric Care - Lyari</t>
        </is>
      </c>
      <c r="C194" s="22" t="inlineStr">
        <is>
          <t>Sep-2026</t>
        </is>
      </c>
      <c r="D194" s="23" t="n">
        <v>950656.5600000001</v>
      </c>
      <c r="E194" s="23" t="n">
        <v>2281</v>
      </c>
      <c r="F194" s="25" t="n">
        <v>416.77</v>
      </c>
      <c r="G194" s="23" t="n">
        <v>4183</v>
      </c>
      <c r="H194" s="25" t="n">
        <v>227.27</v>
      </c>
    </row>
    <row r="195">
      <c r="A195" s="22" t="inlineStr">
        <is>
          <t>PRJ-009</t>
        </is>
      </c>
      <c r="B195" s="22" t="inlineStr">
        <is>
          <t>Hepatitis B &amp; C Screening - Keamari</t>
        </is>
      </c>
      <c r="C195" s="22" t="inlineStr">
        <is>
          <t>Jul-2024</t>
        </is>
      </c>
      <c r="D195" s="23" t="n">
        <v>418753.52</v>
      </c>
      <c r="E195" s="23" t="n">
        <v>1402</v>
      </c>
      <c r="F195" s="25" t="n">
        <v>298.68</v>
      </c>
      <c r="G195" s="23" t="n">
        <v>2676</v>
      </c>
      <c r="H195" s="25" t="n">
        <v>156.48</v>
      </c>
    </row>
    <row r="196">
      <c r="A196" s="22" t="inlineStr">
        <is>
          <t>PRJ-009</t>
        </is>
      </c>
      <c r="B196" s="22" t="inlineStr">
        <is>
          <t>Hepatitis B &amp; C Screening - Keamari</t>
        </is>
      </c>
      <c r="C196" s="22" t="inlineStr">
        <is>
          <t>Aug-2024</t>
        </is>
      </c>
      <c r="D196" s="23" t="n">
        <v>451749.17</v>
      </c>
      <c r="E196" s="23" t="n">
        <v>1488</v>
      </c>
      <c r="F196" s="25" t="n">
        <v>303.59</v>
      </c>
      <c r="G196" s="23" t="n">
        <v>3136</v>
      </c>
      <c r="H196" s="25" t="n">
        <v>144.05</v>
      </c>
    </row>
    <row r="197">
      <c r="A197" s="22" t="inlineStr">
        <is>
          <t>PRJ-009</t>
        </is>
      </c>
      <c r="B197" s="22" t="inlineStr">
        <is>
          <t>Hepatitis B &amp; C Screening - Keamari</t>
        </is>
      </c>
      <c r="C197" s="22" t="inlineStr">
        <is>
          <t>Sep-2024</t>
        </is>
      </c>
      <c r="D197" s="23" t="n">
        <v>368473.08</v>
      </c>
      <c r="E197" s="23" t="n">
        <v>1506</v>
      </c>
      <c r="F197" s="25" t="n">
        <v>244.67</v>
      </c>
      <c r="G197" s="23" t="n">
        <v>3344</v>
      </c>
      <c r="H197" s="25" t="n">
        <v>110.19</v>
      </c>
    </row>
    <row r="198">
      <c r="A198" s="22" t="inlineStr">
        <is>
          <t>PRJ-009</t>
        </is>
      </c>
      <c r="B198" s="22" t="inlineStr">
        <is>
          <t>Hepatitis B &amp; C Screening - Keamari</t>
        </is>
      </c>
      <c r="C198" s="22" t="inlineStr">
        <is>
          <t>Oct-2024</t>
        </is>
      </c>
      <c r="D198" s="23" t="n">
        <v>380456.74</v>
      </c>
      <c r="E198" s="23" t="n">
        <v>1824</v>
      </c>
      <c r="F198" s="25" t="n">
        <v>208.58</v>
      </c>
      <c r="G198" s="23" t="n">
        <v>3685</v>
      </c>
      <c r="H198" s="25" t="n">
        <v>103.24</v>
      </c>
    </row>
    <row r="199">
      <c r="A199" s="22" t="inlineStr">
        <is>
          <t>PRJ-009</t>
        </is>
      </c>
      <c r="B199" s="22" t="inlineStr">
        <is>
          <t>Hepatitis B &amp; C Screening - Keamari</t>
        </is>
      </c>
      <c r="C199" s="22" t="inlineStr">
        <is>
          <t>Nov-2024</t>
        </is>
      </c>
      <c r="D199" s="23" t="n">
        <v>350266.07</v>
      </c>
      <c r="E199" s="23" t="n">
        <v>1824</v>
      </c>
      <c r="F199" s="25" t="n">
        <v>192.03</v>
      </c>
      <c r="G199" s="23" t="n">
        <v>3852</v>
      </c>
      <c r="H199" s="25" t="n">
        <v>90.93000000000001</v>
      </c>
    </row>
    <row r="200">
      <c r="A200" s="22" t="inlineStr">
        <is>
          <t>PRJ-009</t>
        </is>
      </c>
      <c r="B200" s="22" t="inlineStr">
        <is>
          <t>Hepatitis B &amp; C Screening - Keamari</t>
        </is>
      </c>
      <c r="C200" s="22" t="inlineStr">
        <is>
          <t>Dec-2024</t>
        </is>
      </c>
      <c r="D200" s="23" t="n">
        <v>280567.49</v>
      </c>
      <c r="E200" s="23" t="n">
        <v>1855</v>
      </c>
      <c r="F200" s="25" t="n">
        <v>151.25</v>
      </c>
      <c r="G200" s="23" t="n">
        <v>3167</v>
      </c>
      <c r="H200" s="25" t="n">
        <v>88.59</v>
      </c>
    </row>
    <row r="201">
      <c r="A201" s="22" t="inlineStr">
        <is>
          <t>PRJ-009</t>
        </is>
      </c>
      <c r="B201" s="22" t="inlineStr">
        <is>
          <t>Hepatitis B &amp; C Screening - Keamari</t>
        </is>
      </c>
      <c r="C201" s="22" t="inlineStr">
        <is>
          <t>Jan-2025</t>
        </is>
      </c>
      <c r="D201" s="23" t="n">
        <v>410664.57</v>
      </c>
      <c r="E201" s="23" t="n">
        <v>1545</v>
      </c>
      <c r="F201" s="25" t="n">
        <v>265.8</v>
      </c>
      <c r="G201" s="23" t="n">
        <v>2402</v>
      </c>
      <c r="H201" s="25" t="n">
        <v>170.97</v>
      </c>
    </row>
    <row r="202">
      <c r="A202" s="22" t="inlineStr">
        <is>
          <t>PRJ-009</t>
        </is>
      </c>
      <c r="B202" s="22" t="inlineStr">
        <is>
          <t>Hepatitis B &amp; C Screening - Keamari</t>
        </is>
      </c>
      <c r="C202" s="22" t="inlineStr">
        <is>
          <t>Feb-2025</t>
        </is>
      </c>
      <c r="D202" s="23" t="n">
        <v>404945.88</v>
      </c>
      <c r="E202" s="23" t="n">
        <v>1467</v>
      </c>
      <c r="F202" s="25" t="n">
        <v>276.04</v>
      </c>
      <c r="G202" s="23" t="n">
        <v>2747</v>
      </c>
      <c r="H202" s="25" t="n">
        <v>147.41</v>
      </c>
    </row>
    <row r="203">
      <c r="A203" s="22" t="inlineStr">
        <is>
          <t>PRJ-009</t>
        </is>
      </c>
      <c r="B203" s="22" t="inlineStr">
        <is>
          <t>Hepatitis B &amp; C Screening - Keamari</t>
        </is>
      </c>
      <c r="C203" s="22" t="inlineStr">
        <is>
          <t>Mar-2025</t>
        </is>
      </c>
      <c r="D203" s="23" t="n">
        <v>378908.56</v>
      </c>
      <c r="E203" s="23" t="n">
        <v>1793</v>
      </c>
      <c r="F203" s="25" t="n">
        <v>211.33</v>
      </c>
      <c r="G203" s="23" t="n">
        <v>4064</v>
      </c>
      <c r="H203" s="25" t="n">
        <v>93.23999999999999</v>
      </c>
    </row>
    <row r="204">
      <c r="A204" s="22" t="inlineStr">
        <is>
          <t>PRJ-009</t>
        </is>
      </c>
      <c r="B204" s="22" t="inlineStr">
        <is>
          <t>Hepatitis B &amp; C Screening - Keamari</t>
        </is>
      </c>
      <c r="C204" s="22" t="inlineStr">
        <is>
          <t>Apr-2025</t>
        </is>
      </c>
      <c r="D204" s="23" t="n">
        <v>326346.08</v>
      </c>
      <c r="E204" s="23" t="n">
        <v>1790</v>
      </c>
      <c r="F204" s="25" t="n">
        <v>182.32</v>
      </c>
      <c r="G204" s="23" t="n">
        <v>2661</v>
      </c>
      <c r="H204" s="25" t="n">
        <v>122.64</v>
      </c>
    </row>
    <row r="205">
      <c r="A205" s="22" t="inlineStr">
        <is>
          <t>PRJ-009</t>
        </is>
      </c>
      <c r="B205" s="22" t="inlineStr">
        <is>
          <t>Hepatitis B &amp; C Screening - Keamari</t>
        </is>
      </c>
      <c r="C205" s="22" t="inlineStr">
        <is>
          <t>May-2025</t>
        </is>
      </c>
      <c r="D205" s="23" t="n">
        <v>374722.22</v>
      </c>
      <c r="E205" s="23" t="n">
        <v>1671</v>
      </c>
      <c r="F205" s="25" t="n">
        <v>224.25</v>
      </c>
      <c r="G205" s="23" t="n">
        <v>3324</v>
      </c>
      <c r="H205" s="25" t="n">
        <v>112.73</v>
      </c>
    </row>
    <row r="206">
      <c r="A206" s="22" t="inlineStr">
        <is>
          <t>PRJ-009</t>
        </is>
      </c>
      <c r="B206" s="22" t="inlineStr">
        <is>
          <t>Hepatitis B &amp; C Screening - Keamari</t>
        </is>
      </c>
      <c r="C206" s="22" t="inlineStr">
        <is>
          <t>Jun-2025</t>
        </is>
      </c>
      <c r="D206" s="23" t="n">
        <v>318683.47</v>
      </c>
      <c r="E206" s="23" t="n">
        <v>1539</v>
      </c>
      <c r="F206" s="25" t="n">
        <v>207.07</v>
      </c>
      <c r="G206" s="23" t="n">
        <v>3034</v>
      </c>
      <c r="H206" s="25" t="n">
        <v>105.04</v>
      </c>
    </row>
    <row r="207">
      <c r="A207" s="22" t="inlineStr">
        <is>
          <t>PRJ-010</t>
        </is>
      </c>
      <c r="B207" s="22" t="inlineStr">
        <is>
          <t>Thalassaemia Support Programme - Gadap</t>
        </is>
      </c>
      <c r="C207" s="22" t="inlineStr">
        <is>
          <t>Jul-2024</t>
        </is>
      </c>
      <c r="D207" s="23" t="n">
        <v>849907.24</v>
      </c>
      <c r="E207" s="23" t="n">
        <v>2216</v>
      </c>
      <c r="F207" s="25" t="n">
        <v>383.53</v>
      </c>
      <c r="G207" s="23" t="n">
        <v>4816</v>
      </c>
      <c r="H207" s="25" t="n">
        <v>176.48</v>
      </c>
    </row>
    <row r="208">
      <c r="A208" s="22" t="inlineStr">
        <is>
          <t>PRJ-010</t>
        </is>
      </c>
      <c r="B208" s="22" t="inlineStr">
        <is>
          <t>Thalassaemia Support Programme - Gadap</t>
        </is>
      </c>
      <c r="C208" s="22" t="inlineStr">
        <is>
          <t>Aug-2024</t>
        </is>
      </c>
      <c r="D208" s="23" t="n">
        <v>886093.37</v>
      </c>
      <c r="E208" s="23" t="n">
        <v>2870</v>
      </c>
      <c r="F208" s="25" t="n">
        <v>308.74</v>
      </c>
      <c r="G208" s="23" t="n">
        <v>5307</v>
      </c>
      <c r="H208" s="25" t="n">
        <v>166.97</v>
      </c>
    </row>
    <row r="209">
      <c r="A209" s="22" t="inlineStr">
        <is>
          <t>PRJ-010</t>
        </is>
      </c>
      <c r="B209" s="22" t="inlineStr">
        <is>
          <t>Thalassaemia Support Programme - Gadap</t>
        </is>
      </c>
      <c r="C209" s="22" t="inlineStr">
        <is>
          <t>Sep-2024</t>
        </is>
      </c>
      <c r="D209" s="23" t="n">
        <v>944238.55</v>
      </c>
      <c r="E209" s="23" t="n">
        <v>2682</v>
      </c>
      <c r="F209" s="25" t="n">
        <v>352.07</v>
      </c>
      <c r="G209" s="23" t="n">
        <v>5891</v>
      </c>
      <c r="H209" s="25" t="n">
        <v>160.28</v>
      </c>
    </row>
    <row r="210">
      <c r="A210" s="22" t="inlineStr">
        <is>
          <t>PRJ-010</t>
        </is>
      </c>
      <c r="B210" s="22" t="inlineStr">
        <is>
          <t>Thalassaemia Support Programme - Gadap</t>
        </is>
      </c>
      <c r="C210" s="22" t="inlineStr">
        <is>
          <t>Oct-2024</t>
        </is>
      </c>
      <c r="D210" s="23" t="n">
        <v>765771.83</v>
      </c>
      <c r="E210" s="23" t="n">
        <v>2412</v>
      </c>
      <c r="F210" s="25" t="n">
        <v>317.48</v>
      </c>
      <c r="G210" s="23" t="n">
        <v>4321</v>
      </c>
      <c r="H210" s="25" t="n">
        <v>177.22</v>
      </c>
    </row>
    <row r="211">
      <c r="A211" s="22" t="inlineStr">
        <is>
          <t>PRJ-010</t>
        </is>
      </c>
      <c r="B211" s="22" t="inlineStr">
        <is>
          <t>Thalassaemia Support Programme - Gadap</t>
        </is>
      </c>
      <c r="C211" s="22" t="inlineStr">
        <is>
          <t>Nov-2024</t>
        </is>
      </c>
      <c r="D211" s="23" t="n">
        <v>651141.24</v>
      </c>
      <c r="E211" s="23" t="n">
        <v>2274</v>
      </c>
      <c r="F211" s="25" t="n">
        <v>286.34</v>
      </c>
      <c r="G211" s="23" t="n">
        <v>5142</v>
      </c>
      <c r="H211" s="25" t="n">
        <v>126.63</v>
      </c>
    </row>
    <row r="212">
      <c r="A212" s="22" t="inlineStr">
        <is>
          <t>PRJ-010</t>
        </is>
      </c>
      <c r="B212" s="22" t="inlineStr">
        <is>
          <t>Thalassaemia Support Programme - Gadap</t>
        </is>
      </c>
      <c r="C212" s="22" t="inlineStr">
        <is>
          <t>Dec-2024</t>
        </is>
      </c>
      <c r="D212" s="23" t="n">
        <v>713600.6899999999</v>
      </c>
      <c r="E212" s="23" t="n">
        <v>2432</v>
      </c>
      <c r="F212" s="25" t="n">
        <v>293.42</v>
      </c>
      <c r="G212" s="23" t="n">
        <v>3653</v>
      </c>
      <c r="H212" s="25" t="n">
        <v>195.35</v>
      </c>
    </row>
    <row r="213">
      <c r="A213" s="22" t="inlineStr">
        <is>
          <t>PRJ-010</t>
        </is>
      </c>
      <c r="B213" s="22" t="inlineStr">
        <is>
          <t>Thalassaemia Support Programme - Gadap</t>
        </is>
      </c>
      <c r="C213" s="22" t="inlineStr">
        <is>
          <t>Jan-2025</t>
        </is>
      </c>
      <c r="D213" s="23" t="n">
        <v>999637.53</v>
      </c>
      <c r="E213" s="23" t="n">
        <v>3190</v>
      </c>
      <c r="F213" s="25" t="n">
        <v>313.37</v>
      </c>
      <c r="G213" s="23" t="n">
        <v>5347</v>
      </c>
      <c r="H213" s="25" t="n">
        <v>186.95</v>
      </c>
    </row>
    <row r="214">
      <c r="A214" s="22" t="inlineStr">
        <is>
          <t>PRJ-010</t>
        </is>
      </c>
      <c r="B214" s="22" t="inlineStr">
        <is>
          <t>Thalassaemia Support Programme - Gadap</t>
        </is>
      </c>
      <c r="C214" s="22" t="inlineStr">
        <is>
          <t>Feb-2025</t>
        </is>
      </c>
      <c r="D214" s="23" t="n">
        <v>870589.67</v>
      </c>
      <c r="E214" s="23" t="n">
        <v>2955</v>
      </c>
      <c r="F214" s="25" t="n">
        <v>294.62</v>
      </c>
      <c r="G214" s="23" t="n">
        <v>4919</v>
      </c>
      <c r="H214" s="25" t="n">
        <v>176.99</v>
      </c>
    </row>
    <row r="215">
      <c r="A215" s="22" t="inlineStr">
        <is>
          <t>PRJ-010</t>
        </is>
      </c>
      <c r="B215" s="22" t="inlineStr">
        <is>
          <t>Thalassaemia Support Programme - Gadap</t>
        </is>
      </c>
      <c r="C215" s="22" t="inlineStr">
        <is>
          <t>Mar-2025</t>
        </is>
      </c>
      <c r="D215" s="23" t="n">
        <v>768335.38</v>
      </c>
      <c r="E215" s="23" t="n">
        <v>3197</v>
      </c>
      <c r="F215" s="25" t="n">
        <v>240.33</v>
      </c>
      <c r="G215" s="23" t="n">
        <v>7040</v>
      </c>
      <c r="H215" s="25" t="n">
        <v>109.14</v>
      </c>
    </row>
    <row r="216">
      <c r="A216" s="22" t="inlineStr">
        <is>
          <t>PRJ-010</t>
        </is>
      </c>
      <c r="B216" s="22" t="inlineStr">
        <is>
          <t>Thalassaemia Support Programme - Gadap</t>
        </is>
      </c>
      <c r="C216" s="22" t="inlineStr">
        <is>
          <t>Apr-2025</t>
        </is>
      </c>
      <c r="D216" s="23" t="n">
        <v>780056.17</v>
      </c>
      <c r="E216" s="23" t="n">
        <v>2627</v>
      </c>
      <c r="F216" s="25" t="n">
        <v>296.94</v>
      </c>
      <c r="G216" s="23" t="n">
        <v>5618</v>
      </c>
      <c r="H216" s="25" t="n">
        <v>138.85</v>
      </c>
    </row>
    <row r="217">
      <c r="A217" s="22" t="inlineStr">
        <is>
          <t>PRJ-010</t>
        </is>
      </c>
      <c r="B217" s="22" t="inlineStr">
        <is>
          <t>Thalassaemia Support Programme - Gadap</t>
        </is>
      </c>
      <c r="C217" s="22" t="inlineStr">
        <is>
          <t>May-2025</t>
        </is>
      </c>
      <c r="D217" s="23" t="n">
        <v>706357.84</v>
      </c>
      <c r="E217" s="23" t="n">
        <v>2897</v>
      </c>
      <c r="F217" s="25" t="n">
        <v>243.82</v>
      </c>
      <c r="G217" s="23" t="n">
        <v>4183</v>
      </c>
      <c r="H217" s="25" t="n">
        <v>168.86</v>
      </c>
    </row>
    <row r="218">
      <c r="A218" s="22" t="inlineStr">
        <is>
          <t>PRJ-010</t>
        </is>
      </c>
      <c r="B218" s="22" t="inlineStr">
        <is>
          <t>Thalassaemia Support Programme - Gadap</t>
        </is>
      </c>
      <c r="C218" s="22" t="inlineStr">
        <is>
          <t>Jun-2025</t>
        </is>
      </c>
      <c r="D218" s="23" t="n">
        <v>765544.38</v>
      </c>
      <c r="E218" s="23" t="n">
        <v>2265</v>
      </c>
      <c r="F218" s="25" t="n">
        <v>337.99</v>
      </c>
      <c r="G218" s="23" t="n">
        <v>3611</v>
      </c>
      <c r="H218" s="25" t="n">
        <v>212</v>
      </c>
    </row>
    <row r="219">
      <c r="A219" s="22" t="inlineStr">
        <is>
          <t>PRJ-010</t>
        </is>
      </c>
      <c r="B219" s="22" t="inlineStr">
        <is>
          <t>Thalassaemia Support Programme - Gadap</t>
        </is>
      </c>
      <c r="C219" s="22" t="inlineStr">
        <is>
          <t>Jul-2025</t>
        </is>
      </c>
      <c r="D219" s="23" t="n">
        <v>677421.74</v>
      </c>
      <c r="E219" s="23" t="n">
        <v>3205</v>
      </c>
      <c r="F219" s="25" t="n">
        <v>211.36</v>
      </c>
      <c r="G219" s="23" t="n">
        <v>5553</v>
      </c>
      <c r="H219" s="25" t="n">
        <v>121.99</v>
      </c>
    </row>
    <row r="220">
      <c r="A220" s="22" t="inlineStr">
        <is>
          <t>PRJ-010</t>
        </is>
      </c>
      <c r="B220" s="22" t="inlineStr">
        <is>
          <t>Thalassaemia Support Programme - Gadap</t>
        </is>
      </c>
      <c r="C220" s="22" t="inlineStr">
        <is>
          <t>Aug-2025</t>
        </is>
      </c>
      <c r="D220" s="23" t="n">
        <v>1304051.71</v>
      </c>
      <c r="E220" s="23" t="n">
        <v>3651</v>
      </c>
      <c r="F220" s="25" t="n">
        <v>357.18</v>
      </c>
      <c r="G220" s="23" t="n">
        <v>8111</v>
      </c>
      <c r="H220" s="25" t="n">
        <v>160.78</v>
      </c>
    </row>
    <row r="221">
      <c r="A221" s="22" t="inlineStr">
        <is>
          <t>PRJ-010</t>
        </is>
      </c>
      <c r="B221" s="22" t="inlineStr">
        <is>
          <t>Thalassaemia Support Programme - Gadap</t>
        </is>
      </c>
      <c r="C221" s="22" t="inlineStr">
        <is>
          <t>Sep-2025</t>
        </is>
      </c>
      <c r="D221" s="23" t="n">
        <v>1127100.72</v>
      </c>
      <c r="E221" s="23" t="n">
        <v>3038</v>
      </c>
      <c r="F221" s="25" t="n">
        <v>371</v>
      </c>
      <c r="G221" s="23" t="n">
        <v>5912</v>
      </c>
      <c r="H221" s="25" t="n">
        <v>190.65</v>
      </c>
    </row>
    <row r="222">
      <c r="A222" s="22" t="inlineStr">
        <is>
          <t>PRJ-010</t>
        </is>
      </c>
      <c r="B222" s="22" t="inlineStr">
        <is>
          <t>Thalassaemia Support Programme - Gadap</t>
        </is>
      </c>
      <c r="C222" s="22" t="inlineStr">
        <is>
          <t>Oct-2025</t>
        </is>
      </c>
      <c r="D222" s="23" t="n">
        <v>998641.03</v>
      </c>
      <c r="E222" s="23" t="n">
        <v>2788</v>
      </c>
      <c r="F222" s="25" t="n">
        <v>358.19</v>
      </c>
      <c r="G222" s="23" t="n">
        <v>5354</v>
      </c>
      <c r="H222" s="25" t="n">
        <v>186.52</v>
      </c>
    </row>
    <row r="223">
      <c r="A223" s="22" t="inlineStr">
        <is>
          <t>PRJ-010</t>
        </is>
      </c>
      <c r="B223" s="22" t="inlineStr">
        <is>
          <t>Thalassaemia Support Programme - Gadap</t>
        </is>
      </c>
      <c r="C223" s="22" t="inlineStr">
        <is>
          <t>Nov-2025</t>
        </is>
      </c>
      <c r="D223" s="23" t="n">
        <v>759394.49</v>
      </c>
      <c r="E223" s="23" t="n">
        <v>2954</v>
      </c>
      <c r="F223" s="25" t="n">
        <v>257.07</v>
      </c>
      <c r="G223" s="23" t="n">
        <v>5401</v>
      </c>
      <c r="H223" s="25" t="n">
        <v>140.6</v>
      </c>
    </row>
    <row r="224">
      <c r="A224" s="22" t="inlineStr">
        <is>
          <t>PRJ-010</t>
        </is>
      </c>
      <c r="B224" s="22" t="inlineStr">
        <is>
          <t>Thalassaemia Support Programme - Gadap</t>
        </is>
      </c>
      <c r="C224" s="22" t="inlineStr">
        <is>
          <t>Dec-2025</t>
        </is>
      </c>
      <c r="D224" s="23" t="n">
        <v>865132.7</v>
      </c>
      <c r="E224" s="23" t="n">
        <v>2880</v>
      </c>
      <c r="F224" s="25" t="n">
        <v>300.39</v>
      </c>
      <c r="G224" s="23" t="n">
        <v>5592</v>
      </c>
      <c r="H224" s="25" t="n">
        <v>154.71</v>
      </c>
    </row>
    <row r="225">
      <c r="A225" s="22" t="inlineStr">
        <is>
          <t>PRJ-010</t>
        </is>
      </c>
      <c r="B225" s="22" t="inlineStr">
        <is>
          <t>Thalassaemia Support Programme - Gadap</t>
        </is>
      </c>
      <c r="C225" s="22" t="inlineStr">
        <is>
          <t>Jan-2026</t>
        </is>
      </c>
      <c r="D225" s="23" t="n">
        <v>1106605.83</v>
      </c>
      <c r="E225" s="23" t="n">
        <v>3254</v>
      </c>
      <c r="F225" s="25" t="n">
        <v>340.08</v>
      </c>
      <c r="G225" s="23" t="n">
        <v>6180</v>
      </c>
      <c r="H225" s="25" t="n">
        <v>179.06</v>
      </c>
    </row>
    <row r="226">
      <c r="A226" s="22" t="inlineStr">
        <is>
          <t>PRJ-010</t>
        </is>
      </c>
      <c r="B226" s="22" t="inlineStr">
        <is>
          <t>Thalassaemia Support Programme - Gadap</t>
        </is>
      </c>
      <c r="C226" s="22" t="inlineStr">
        <is>
          <t>Feb-2026</t>
        </is>
      </c>
      <c r="D226" s="23" t="n">
        <v>927003.61</v>
      </c>
      <c r="E226" s="23" t="n">
        <v>3238</v>
      </c>
      <c r="F226" s="25" t="n">
        <v>286.29</v>
      </c>
      <c r="G226" s="23" t="n">
        <v>6532</v>
      </c>
      <c r="H226" s="25" t="n">
        <v>141.92</v>
      </c>
    </row>
    <row r="227">
      <c r="A227" s="22" t="inlineStr">
        <is>
          <t>PRJ-010</t>
        </is>
      </c>
      <c r="B227" s="22" t="inlineStr">
        <is>
          <t>Thalassaemia Support Programme - Gadap</t>
        </is>
      </c>
      <c r="C227" s="22" t="inlineStr">
        <is>
          <t>Mar-2026</t>
        </is>
      </c>
      <c r="D227" s="23" t="n">
        <v>668088.92</v>
      </c>
      <c r="E227" s="23" t="n">
        <v>2531</v>
      </c>
      <c r="F227" s="25" t="n">
        <v>263.96</v>
      </c>
      <c r="G227" s="23" t="n">
        <v>5276</v>
      </c>
      <c r="H227" s="25" t="n">
        <v>126.63</v>
      </c>
    </row>
    <row r="228">
      <c r="A228" s="22" t="inlineStr">
        <is>
          <t>PRJ-010</t>
        </is>
      </c>
      <c r="B228" s="22" t="inlineStr">
        <is>
          <t>Thalassaemia Support Programme - Gadap</t>
        </is>
      </c>
      <c r="C228" s="22" t="inlineStr">
        <is>
          <t>Apr-2026</t>
        </is>
      </c>
      <c r="D228" s="23" t="n">
        <v>897612.6800000001</v>
      </c>
      <c r="E228" s="23" t="n">
        <v>3052</v>
      </c>
      <c r="F228" s="25" t="n">
        <v>294.11</v>
      </c>
      <c r="G228" s="23" t="n">
        <v>6013</v>
      </c>
      <c r="H228" s="25" t="n">
        <v>149.28</v>
      </c>
    </row>
    <row r="229">
      <c r="A229" s="22" t="inlineStr">
        <is>
          <t>PRJ-010</t>
        </is>
      </c>
      <c r="B229" s="22" t="inlineStr">
        <is>
          <t>Thalassaemia Support Programme - Gadap</t>
        </is>
      </c>
      <c r="C229" s="22" t="inlineStr">
        <is>
          <t>May-2026</t>
        </is>
      </c>
      <c r="D229" s="23" t="n">
        <v>888120.77</v>
      </c>
      <c r="E229" s="23" t="n">
        <v>2336</v>
      </c>
      <c r="F229" s="25" t="n">
        <v>380.19</v>
      </c>
      <c r="G229" s="23" t="n">
        <v>5149</v>
      </c>
      <c r="H229" s="25" t="n">
        <v>172.48</v>
      </c>
    </row>
    <row r="230">
      <c r="A230" s="22" t="inlineStr">
        <is>
          <t>PRJ-010</t>
        </is>
      </c>
      <c r="B230" s="22" t="inlineStr">
        <is>
          <t>Thalassaemia Support Programme - Gadap</t>
        </is>
      </c>
      <c r="C230" s="22" t="inlineStr">
        <is>
          <t>Jun-2026</t>
        </is>
      </c>
      <c r="D230" s="23" t="n">
        <v>795961.3199999999</v>
      </c>
      <c r="E230" s="23" t="n">
        <v>2346</v>
      </c>
      <c r="F230" s="25" t="n">
        <v>339.28</v>
      </c>
      <c r="G230" s="23" t="n">
        <v>4395</v>
      </c>
      <c r="H230" s="25" t="n">
        <v>181.11</v>
      </c>
    </row>
    <row r="231">
      <c r="A231" s="22" t="inlineStr">
        <is>
          <t>PRJ-010</t>
        </is>
      </c>
      <c r="B231" s="22" t="inlineStr">
        <is>
          <t>Thalassaemia Support Programme - Gadap</t>
        </is>
      </c>
      <c r="C231" s="22" t="inlineStr">
        <is>
          <t>Jul-2026</t>
        </is>
      </c>
      <c r="D231" s="23" t="n">
        <v>1263206.81</v>
      </c>
      <c r="E231" s="23" t="n">
        <v>3227</v>
      </c>
      <c r="F231" s="25" t="n">
        <v>391.45</v>
      </c>
      <c r="G231" s="23" t="n">
        <v>7110</v>
      </c>
      <c r="H231" s="25" t="n">
        <v>177.67</v>
      </c>
    </row>
    <row r="232">
      <c r="A232" s="22" t="inlineStr">
        <is>
          <t>PRJ-010</t>
        </is>
      </c>
      <c r="B232" s="22" t="inlineStr">
        <is>
          <t>Thalassaemia Support Programme - Gadap</t>
        </is>
      </c>
      <c r="C232" s="22" t="inlineStr">
        <is>
          <t>Aug-2026</t>
        </is>
      </c>
      <c r="D232" s="23" t="n">
        <v>976350.84</v>
      </c>
      <c r="E232" s="23" t="n">
        <v>2517</v>
      </c>
      <c r="F232" s="25" t="n">
        <v>387.9</v>
      </c>
      <c r="G232" s="23" t="n">
        <v>5039</v>
      </c>
      <c r="H232" s="25" t="n">
        <v>193.76</v>
      </c>
    </row>
    <row r="233">
      <c r="A233" s="22" t="inlineStr">
        <is>
          <t>PRJ-010</t>
        </is>
      </c>
      <c r="B233" s="22" t="inlineStr">
        <is>
          <t>Thalassaemia Support Programme - Gadap</t>
        </is>
      </c>
      <c r="C233" s="22" t="inlineStr">
        <is>
          <t>Sep-2026</t>
        </is>
      </c>
      <c r="D233" s="23" t="n">
        <v>1120973.99</v>
      </c>
      <c r="E233" s="23" t="n">
        <v>2999</v>
      </c>
      <c r="F233" s="25" t="n">
        <v>373.78</v>
      </c>
      <c r="G233" s="23" t="n">
        <v>6715</v>
      </c>
      <c r="H233" s="25" t="n">
        <v>166.94</v>
      </c>
    </row>
    <row r="234">
      <c r="A234" s="26" t="inlineStr"/>
      <c r="B234" s="26" t="inlineStr">
        <is>
          <t>TOTAL / AVERAGE</t>
        </is>
      </c>
      <c r="C234" s="26" t="inlineStr"/>
      <c r="D234" s="27" t="n">
        <v>255304705.15</v>
      </c>
      <c r="E234" s="27" t="n">
        <v>679751</v>
      </c>
      <c r="F234" s="29" t="n">
        <v>375.59</v>
      </c>
      <c r="G234" s="27" t="n">
        <v>1261342</v>
      </c>
      <c r="H234" s="29" t="n">
        <v>202.41</v>
      </c>
    </row>
  </sheetData>
  <mergeCells count="1">
    <mergeCell ref="A2:H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45756"/>
    <outlinePr summaryBelow="1" summaryRight="1"/>
    <pageSetUpPr/>
  </sheetPr>
  <dimension ref="A1:F62"/>
  <sheetViews>
    <sheetView showGridLines="0" zoomScale="9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44" customWidth="1" min="4" max="4"/>
  </cols>
  <sheetData>
    <row r="1">
      <c r="A1" s="1" t="inlineStr">
        <is>
          <t>Exceptions and Data Quality</t>
        </is>
      </c>
    </row>
    <row r="2">
      <c r="A2" s="2" t="inlineStr">
        <is>
          <t>Each block corresponds to an exception type specified in the BRD (FR-29, FR-30, DQ-01 to DQ-06).</t>
        </is>
      </c>
    </row>
    <row r="3" ht="6" customHeight="1"/>
    <row r="5">
      <c r="A5" s="10" t="inlineStr">
        <is>
          <t>Summary of exceptions</t>
        </is>
      </c>
    </row>
    <row r="6" ht="30" customHeight="1">
      <c r="A6" s="11" t="inlineStr">
        <is>
          <t>Exception type</t>
        </is>
      </c>
      <c r="B6" s="11" t="inlineStr">
        <is>
          <t>Count</t>
        </is>
      </c>
      <c r="C6" s="11" t="inlineStr">
        <is>
          <t>Value (PKR)</t>
        </is>
      </c>
      <c r="D6" s="11" t="inlineStr">
        <is>
          <t>Required handling</t>
        </is>
      </c>
    </row>
    <row r="7">
      <c r="A7" s="12" t="inlineStr">
        <is>
          <t>Unattributed consumption (generic project code)</t>
        </is>
      </c>
      <c r="B7" s="12" t="n">
        <v>500</v>
      </c>
      <c r="C7" s="13" t="n">
        <v>6730947.78</v>
      </c>
      <c r="D7" s="12" t="inlineStr">
        <is>
          <t>Report separately; correct project coding at issue (FR-30)</t>
        </is>
      </c>
    </row>
    <row r="8">
      <c r="A8" s="12" t="inlineStr">
        <is>
          <t>Zero-value / donated purchase lines</t>
        </is>
      </c>
      <c r="B8" s="12" t="n">
        <v>59</v>
      </c>
      <c r="C8" s="13" t="n">
        <v>0</v>
      </c>
      <c r="D8" s="12" t="inlineStr">
        <is>
          <t>Exclude from price variance; disclose as in-kind</t>
        </is>
      </c>
    </row>
    <row r="9">
      <c r="A9" s="12" t="inlineStr">
        <is>
          <t>Cancelled purchase orders</t>
        </is>
      </c>
      <c r="B9" s="12" t="n">
        <v>847</v>
      </c>
      <c r="C9" s="13" t="n">
        <v>18943641.52</v>
      </c>
      <c r="D9" s="12" t="inlineStr">
        <is>
          <t>Exclude from investment and commitment (TR-05)</t>
        </is>
      </c>
    </row>
    <row r="10">
      <c r="A10" s="12" t="inlineStr">
        <is>
          <t>Duplicate receipt candidates</t>
        </is>
      </c>
      <c r="B10" s="12" t="n">
        <v>8</v>
      </c>
      <c r="C10" s="13" t="inlineStr"/>
      <c r="D10" s="12" t="inlineStr">
        <is>
          <t>Deduplicate on GRN + batch before loading (TR-06)</t>
        </is>
      </c>
    </row>
    <row r="11">
      <c r="A11" s="12" t="inlineStr">
        <is>
          <t>Item-project-months with unmet demand</t>
        </is>
      </c>
      <c r="B11" s="12" t="n">
        <v>70</v>
      </c>
      <c r="C11" s="13" t="n">
        <v>32267</v>
      </c>
      <c r="D11" s="12" t="inlineStr">
        <is>
          <t>Review stock-out cause and lead time (KPI-22)</t>
        </is>
      </c>
    </row>
    <row r="12">
      <c r="A12" s="12" t="inlineStr">
        <is>
          <t>Expired stock not written off</t>
        </is>
      </c>
      <c r="B12" s="12" t="n"/>
      <c r="C12" s="13" t="n">
        <v>783764.1800000001</v>
      </c>
      <c r="D12" s="12" t="inlineStr">
        <is>
          <t>Approve write-off and adjust stock (KPI-21)</t>
        </is>
      </c>
    </row>
    <row r="15">
      <c r="A15" s="10" t="inlineStr">
        <is>
          <t>Unattributed consumption by month</t>
        </is>
      </c>
    </row>
    <row r="16" ht="30" customHeight="1">
      <c r="A16" s="11" t="inlineStr">
        <is>
          <t>Month</t>
        </is>
      </c>
      <c r="B16" s="11" t="inlineStr">
        <is>
          <t>Unattributed value</t>
        </is>
      </c>
      <c r="C16" s="11" t="inlineStr">
        <is>
          <t>Total consumption</t>
        </is>
      </c>
      <c r="D16" s="11" t="inlineStr">
        <is>
          <t>Share</t>
        </is>
      </c>
    </row>
    <row r="17">
      <c r="A17" s="12" t="inlineStr">
        <is>
          <t>Jul-2024</t>
        </is>
      </c>
      <c r="B17" s="13" t="n">
        <v>91814.06</v>
      </c>
      <c r="C17" s="13" t="n">
        <v>6861937.91</v>
      </c>
      <c r="D17" s="18" t="n">
        <v>0.0134</v>
      </c>
    </row>
    <row r="18">
      <c r="A18" s="12" t="inlineStr">
        <is>
          <t>Aug-2024</t>
        </is>
      </c>
      <c r="B18" s="13" t="n">
        <v>216372.06</v>
      </c>
      <c r="C18" s="13" t="n">
        <v>7953711.66</v>
      </c>
      <c r="D18" s="18" t="n">
        <v>0.0272</v>
      </c>
    </row>
    <row r="19">
      <c r="A19" s="12" t="inlineStr">
        <is>
          <t>Sep-2024</t>
        </is>
      </c>
      <c r="B19" s="13" t="n">
        <v>191084.71</v>
      </c>
      <c r="C19" s="13" t="n">
        <v>8006117.98</v>
      </c>
      <c r="D19" s="18" t="n">
        <v>0.0239</v>
      </c>
    </row>
    <row r="20">
      <c r="A20" s="12" t="inlineStr">
        <is>
          <t>Oct-2024</t>
        </is>
      </c>
      <c r="B20" s="13" t="n">
        <v>165902.31</v>
      </c>
      <c r="C20" s="13" t="n">
        <v>8323666.09</v>
      </c>
      <c r="D20" s="18" t="n">
        <v>0.0199</v>
      </c>
    </row>
    <row r="21">
      <c r="A21" s="12" t="inlineStr">
        <is>
          <t>Nov-2024</t>
        </is>
      </c>
      <c r="B21" s="13" t="n">
        <v>309627.9</v>
      </c>
      <c r="C21" s="13" t="n">
        <v>7224420</v>
      </c>
      <c r="D21" s="18" t="n">
        <v>0.0429</v>
      </c>
    </row>
    <row r="22">
      <c r="A22" s="12" t="inlineStr">
        <is>
          <t>Dec-2024</t>
        </is>
      </c>
      <c r="B22" s="13" t="n">
        <v>162056.61</v>
      </c>
      <c r="C22" s="13" t="n">
        <v>7407856.51</v>
      </c>
      <c r="D22" s="18" t="n">
        <v>0.0219</v>
      </c>
    </row>
    <row r="23">
      <c r="A23" s="12" t="inlineStr">
        <is>
          <t>Jan-2025</t>
        </is>
      </c>
      <c r="B23" s="13" t="n">
        <v>622539.23</v>
      </c>
      <c r="C23" s="13" t="n">
        <v>12227724.09</v>
      </c>
      <c r="D23" s="18" t="n">
        <v>0.0509</v>
      </c>
    </row>
    <row r="24">
      <c r="A24" s="12" t="inlineStr">
        <is>
          <t>Feb-2025</t>
        </is>
      </c>
      <c r="B24" s="13" t="n">
        <v>338962.79</v>
      </c>
      <c r="C24" s="13" t="n">
        <v>10499656.63</v>
      </c>
      <c r="D24" s="18" t="n">
        <v>0.0323</v>
      </c>
    </row>
    <row r="25">
      <c r="A25" s="12" t="inlineStr">
        <is>
          <t>Mar-2025</t>
        </is>
      </c>
      <c r="B25" s="13" t="n">
        <v>280159.36</v>
      </c>
      <c r="C25" s="13" t="n">
        <v>8664321.380000001</v>
      </c>
      <c r="D25" s="18" t="n">
        <v>0.0323</v>
      </c>
    </row>
    <row r="26">
      <c r="A26" s="12" t="inlineStr">
        <is>
          <t>Apr-2025</t>
        </is>
      </c>
      <c r="B26" s="13" t="n">
        <v>321388.79</v>
      </c>
      <c r="C26" s="13" t="n">
        <v>8632217.210000001</v>
      </c>
      <c r="D26" s="18" t="n">
        <v>0.0372</v>
      </c>
    </row>
    <row r="27">
      <c r="A27" s="12" t="inlineStr">
        <is>
          <t>May-2025</t>
        </is>
      </c>
      <c r="B27" s="13" t="n">
        <v>45592.18</v>
      </c>
      <c r="C27" s="13" t="n">
        <v>8222581.06</v>
      </c>
      <c r="D27" s="18" t="n">
        <v>0.0055</v>
      </c>
    </row>
    <row r="28">
      <c r="A28" s="12" t="inlineStr">
        <is>
          <t>Jun-2025</t>
        </is>
      </c>
      <c r="B28" s="13" t="n">
        <v>427696.97</v>
      </c>
      <c r="C28" s="13" t="n">
        <v>8845297.970000001</v>
      </c>
      <c r="D28" s="18" t="n">
        <v>0.0484</v>
      </c>
    </row>
    <row r="29">
      <c r="A29" s="12" t="inlineStr">
        <is>
          <t>Jul-2025</t>
        </is>
      </c>
      <c r="B29" s="13" t="n">
        <v>300461.21</v>
      </c>
      <c r="C29" s="13" t="n">
        <v>10486353.14</v>
      </c>
      <c r="D29" s="18" t="n">
        <v>0.0287</v>
      </c>
    </row>
    <row r="30">
      <c r="A30" s="12" t="inlineStr">
        <is>
          <t>Aug-2025</t>
        </is>
      </c>
      <c r="B30" s="13" t="n">
        <v>358339.34</v>
      </c>
      <c r="C30" s="13" t="n">
        <v>14731533.2</v>
      </c>
      <c r="D30" s="18" t="n">
        <v>0.0243</v>
      </c>
    </row>
    <row r="31">
      <c r="A31" s="12" t="inlineStr">
        <is>
          <t>Sep-2025</t>
        </is>
      </c>
      <c r="B31" s="13" t="n">
        <v>88693.50999999999</v>
      </c>
      <c r="C31" s="13" t="n">
        <v>14013474.94</v>
      </c>
      <c r="D31" s="18" t="n">
        <v>0.0063</v>
      </c>
    </row>
    <row r="32">
      <c r="A32" s="12" t="inlineStr">
        <is>
          <t>Oct-2025</t>
        </is>
      </c>
      <c r="B32" s="13" t="n">
        <v>278221.54</v>
      </c>
      <c r="C32" s="13" t="n">
        <v>10234480.36</v>
      </c>
      <c r="D32" s="18" t="n">
        <v>0.0272</v>
      </c>
    </row>
    <row r="33">
      <c r="A33" s="12" t="inlineStr">
        <is>
          <t>Nov-2025</t>
        </is>
      </c>
      <c r="B33" s="13" t="n">
        <v>148179.65</v>
      </c>
      <c r="C33" s="13" t="n">
        <v>9131693.51</v>
      </c>
      <c r="D33" s="18" t="n">
        <v>0.0162</v>
      </c>
    </row>
    <row r="34">
      <c r="A34" s="12" t="inlineStr">
        <is>
          <t>Dec-2025</t>
        </is>
      </c>
      <c r="B34" s="13" t="n">
        <v>367159.95</v>
      </c>
      <c r="C34" s="13" t="n">
        <v>10804162</v>
      </c>
      <c r="D34" s="18" t="n">
        <v>0.034</v>
      </c>
    </row>
    <row r="35">
      <c r="A35" s="12" t="inlineStr">
        <is>
          <t>Jan-2026</t>
        </is>
      </c>
      <c r="B35" s="13" t="n">
        <v>425470.74</v>
      </c>
      <c r="C35" s="13" t="n">
        <v>11504510.02</v>
      </c>
      <c r="D35" s="18" t="n">
        <v>0.037</v>
      </c>
    </row>
    <row r="36">
      <c r="A36" s="12" t="inlineStr">
        <is>
          <t>Feb-2026</t>
        </is>
      </c>
      <c r="B36" s="13" t="n">
        <v>363420.25</v>
      </c>
      <c r="C36" s="13" t="n">
        <v>11137924.02</v>
      </c>
      <c r="D36" s="18" t="n">
        <v>0.0326</v>
      </c>
    </row>
    <row r="37">
      <c r="A37" s="12" t="inlineStr">
        <is>
          <t>Mar-2026</t>
        </is>
      </c>
      <c r="B37" s="13" t="n">
        <v>294532.99</v>
      </c>
      <c r="C37" s="13" t="n">
        <v>7331727.55</v>
      </c>
      <c r="D37" s="18" t="n">
        <v>0.0402</v>
      </c>
    </row>
    <row r="38">
      <c r="A38" s="12" t="inlineStr">
        <is>
          <t>Apr-2026</t>
        </is>
      </c>
      <c r="B38" s="13" t="n">
        <v>145609.56</v>
      </c>
      <c r="C38" s="13" t="n">
        <v>8732262.289999999</v>
      </c>
      <c r="D38" s="18" t="n">
        <v>0.0167</v>
      </c>
    </row>
    <row r="39">
      <c r="A39" s="12" t="inlineStr">
        <is>
          <t>May-2026</t>
        </is>
      </c>
      <c r="B39" s="13" t="n">
        <v>133050.88</v>
      </c>
      <c r="C39" s="13" t="n">
        <v>8020497.75</v>
      </c>
      <c r="D39" s="18" t="n">
        <v>0.0166</v>
      </c>
    </row>
    <row r="40">
      <c r="A40" s="12" t="inlineStr">
        <is>
          <t>Jun-2026</t>
        </is>
      </c>
      <c r="B40" s="13" t="n">
        <v>240513.73</v>
      </c>
      <c r="C40" s="13" t="n">
        <v>8809441.949999999</v>
      </c>
      <c r="D40" s="18" t="n">
        <v>0.0273</v>
      </c>
    </row>
    <row r="41">
      <c r="A41" s="12" t="inlineStr">
        <is>
          <t>Jul-2026</t>
        </is>
      </c>
      <c r="B41" s="13" t="n">
        <v>126570.49</v>
      </c>
      <c r="C41" s="13" t="n">
        <v>11480271.5</v>
      </c>
      <c r="D41" s="18" t="n">
        <v>0.011</v>
      </c>
    </row>
    <row r="42">
      <c r="A42" s="12" t="inlineStr">
        <is>
          <t>Aug-2026</t>
        </is>
      </c>
      <c r="B42" s="13" t="n">
        <v>69368.08</v>
      </c>
      <c r="C42" s="13" t="n">
        <v>11285273.67</v>
      </c>
      <c r="D42" s="18" t="n">
        <v>0.0061</v>
      </c>
    </row>
    <row r="43">
      <c r="A43" s="12" t="inlineStr">
        <is>
          <t>Sep-2026</t>
        </is>
      </c>
      <c r="B43" s="13" t="n">
        <v>218158.89</v>
      </c>
      <c r="C43" s="13" t="n">
        <v>11002831.71</v>
      </c>
      <c r="D43" s="18" t="n">
        <v>0.0198</v>
      </c>
    </row>
    <row r="46">
      <c r="A46" s="10" t="inlineStr">
        <is>
          <t>Unattributed consumption by item (top 15)</t>
        </is>
      </c>
    </row>
    <row r="47" ht="30" customHeight="1">
      <c r="A47" s="11" t="inlineStr">
        <is>
          <t>Item</t>
        </is>
      </c>
      <c r="B47" s="11" t="inlineStr">
        <is>
          <t>Value</t>
        </is>
      </c>
      <c r="C47" s="11" t="inlineStr">
        <is>
          <t>Lines</t>
        </is>
      </c>
      <c r="D47" s="11" t="inlineStr">
        <is>
          <t>Share of unattributed</t>
        </is>
      </c>
    </row>
    <row r="48">
      <c r="A48" s="12" t="inlineStr">
        <is>
          <t>RUTF Plumpy'Nut 92 g Sachet</t>
        </is>
      </c>
      <c r="B48" s="13" t="n">
        <v>827764.5</v>
      </c>
      <c r="C48" s="12" t="n">
        <v>7</v>
      </c>
      <c r="D48" s="18" t="n">
        <v>0.123</v>
      </c>
    </row>
    <row r="49">
      <c r="A49" s="12" t="inlineStr">
        <is>
          <t>Deferasirox 500 mg Tablet</t>
        </is>
      </c>
      <c r="B49" s="13" t="n">
        <v>740911.5</v>
      </c>
      <c r="C49" s="12" t="n">
        <v>7</v>
      </c>
      <c r="D49" s="18" t="n">
        <v>0.1101</v>
      </c>
    </row>
    <row r="50">
      <c r="A50" s="12" t="inlineStr">
        <is>
          <t>Multiple Micronutrient Powder</t>
        </is>
      </c>
      <c r="B50" s="13" t="n">
        <v>413904.6</v>
      </c>
      <c r="C50" s="12" t="n">
        <v>12</v>
      </c>
      <c r="D50" s="18" t="n">
        <v>0.0615</v>
      </c>
    </row>
    <row r="51">
      <c r="A51" s="12" t="inlineStr">
        <is>
          <t>ORS Sachet (Low Osmolarity)</t>
        </is>
      </c>
      <c r="B51" s="13" t="n">
        <v>404236</v>
      </c>
      <c r="C51" s="12" t="n">
        <v>8</v>
      </c>
      <c r="D51" s="18" t="n">
        <v>0.0601</v>
      </c>
    </row>
    <row r="52">
      <c r="A52" s="12" t="inlineStr">
        <is>
          <t>Examination Gloves, Latex (Pair)</t>
        </is>
      </c>
      <c r="B52" s="13" t="n">
        <v>294579</v>
      </c>
      <c r="C52" s="12" t="n">
        <v>8</v>
      </c>
      <c r="D52" s="18" t="n">
        <v>0.0438</v>
      </c>
    </row>
    <row r="53">
      <c r="A53" s="12" t="inlineStr">
        <is>
          <t>F-100 Therapeutic Milk 400 g</t>
        </is>
      </c>
      <c r="B53" s="13" t="n">
        <v>273218.4</v>
      </c>
      <c r="C53" s="12" t="n">
        <v>4</v>
      </c>
      <c r="D53" s="18" t="n">
        <v>0.0406</v>
      </c>
    </row>
    <row r="54">
      <c r="A54" s="12" t="inlineStr">
        <is>
          <t>Disposable Delivery Kit</t>
        </is>
      </c>
      <c r="B54" s="13" t="n">
        <v>248174.96</v>
      </c>
      <c r="C54" s="12" t="n">
        <v>12</v>
      </c>
      <c r="D54" s="18" t="n">
        <v>0.0369</v>
      </c>
    </row>
    <row r="55">
      <c r="A55" s="12" t="inlineStr">
        <is>
          <t>Infant Formula, Therapeutic (Lactogen-free)</t>
        </is>
      </c>
      <c r="B55" s="13" t="n">
        <v>178195.32</v>
      </c>
      <c r="C55" s="12" t="n">
        <v>3</v>
      </c>
      <c r="D55" s="18" t="n">
        <v>0.0265</v>
      </c>
    </row>
    <row r="56">
      <c r="A56" s="12" t="inlineStr">
        <is>
          <t>Rapid Diagnostic Test - Malaria</t>
        </is>
      </c>
      <c r="B56" s="13" t="n">
        <v>144430.5</v>
      </c>
      <c r="C56" s="12" t="n">
        <v>9</v>
      </c>
      <c r="D56" s="18" t="n">
        <v>0.0215</v>
      </c>
    </row>
    <row r="57">
      <c r="A57" s="12" t="inlineStr">
        <is>
          <t>Salbutamol Inhaler 100 mcg</t>
        </is>
      </c>
      <c r="B57" s="13" t="n">
        <v>140992.76</v>
      </c>
      <c r="C57" s="12" t="n">
        <v>13</v>
      </c>
      <c r="D57" s="18" t="n">
        <v>0.0209</v>
      </c>
    </row>
    <row r="58">
      <c r="A58" s="12" t="inlineStr">
        <is>
          <t>Hemoglobin Reagent (Cyanmethemoglobin)</t>
        </is>
      </c>
      <c r="B58" s="13" t="n">
        <v>139043.47</v>
      </c>
      <c r="C58" s="12" t="n">
        <v>8</v>
      </c>
      <c r="D58" s="18" t="n">
        <v>0.0207</v>
      </c>
    </row>
    <row r="59">
      <c r="A59" s="12" t="inlineStr">
        <is>
          <t>Ringer's Lactate 500 ml</t>
        </is>
      </c>
      <c r="B59" s="13" t="n">
        <v>135705.8</v>
      </c>
      <c r="C59" s="12" t="n">
        <v>10</v>
      </c>
      <c r="D59" s="18" t="n">
        <v>0.0202</v>
      </c>
    </row>
    <row r="60">
      <c r="A60" s="12" t="inlineStr">
        <is>
          <t>Hand Sanitiser 500 ml</t>
        </is>
      </c>
      <c r="B60" s="13" t="n">
        <v>134201.04</v>
      </c>
      <c r="C60" s="12" t="n">
        <v>7</v>
      </c>
      <c r="D60" s="18" t="n">
        <v>0.0199</v>
      </c>
    </row>
    <row r="61">
      <c r="A61" s="12" t="inlineStr">
        <is>
          <t>F-75 Therapeutic Milk 400 g</t>
        </is>
      </c>
      <c r="B61" s="13" t="n">
        <v>133163.28</v>
      </c>
      <c r="C61" s="12" t="n">
        <v>3</v>
      </c>
      <c r="D61" s="18" t="n">
        <v>0.0198</v>
      </c>
    </row>
    <row r="62">
      <c r="A62" s="12" t="inlineStr">
        <is>
          <t>Surgical Gloves, Sterile 7.5 (Pair)</t>
        </is>
      </c>
      <c r="B62" s="13" t="n">
        <v>132347</v>
      </c>
      <c r="C62" s="12" t="n">
        <v>13</v>
      </c>
      <c r="D62" s="18" t="n">
        <v>0.0197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2026-10-30T00:10:25Z</dcterms:created>
  <dcterms:modified xmlns:dcterms="http://purl.org/dc/terms/" xmlns:xsi="http://www.w3.org/2001/XMLSchema-instance" xsi:type="dcterms:W3CDTF">2026-10-30T00:10:26Z</dcterms:modified>
</cp:coreProperties>
</file>
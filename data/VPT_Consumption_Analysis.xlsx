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KPI_Dashboard" sheetId="2" state="visible" r:id="rId2"/>
    <sheet xmlns:r="http://schemas.openxmlformats.org/officeDocument/2006/relationships" name="Trend_Monthly" sheetId="3" state="visible" r:id="rId3"/>
    <sheet xmlns:r="http://schemas.openxmlformats.org/officeDocument/2006/relationships" name="Project_Analysis" sheetId="4" state="visible" r:id="rId4"/>
    <sheet xmlns:r="http://schemas.openxmlformats.org/officeDocument/2006/relationships" name="Project_Category" sheetId="5" state="visible" r:id="rId5"/>
    <sheet xmlns:r="http://schemas.openxmlformats.org/officeDocument/2006/relationships" name="Product_Analysis" sheetId="6" state="visible" r:id="rId6"/>
    <sheet xmlns:r="http://schemas.openxmlformats.org/officeDocument/2006/relationships" name="Product_Monthly" sheetId="7" state="visible" r:id="rId7"/>
    <sheet xmlns:r="http://schemas.openxmlformats.org/officeDocument/2006/relationships" name="Category_Analysis" sheetId="8" state="visible" r:id="rId8"/>
    <sheet xmlns:r="http://schemas.openxmlformats.org/officeDocument/2006/relationships" name="Budget_vs_Consumption" sheetId="9" state="visible" r:id="rId9"/>
    <sheet xmlns:r="http://schemas.openxmlformats.org/officeDocument/2006/relationships" name="Price_Variance" sheetId="10" state="visible" r:id="rId10"/>
    <sheet xmlns:r="http://schemas.openxmlformats.org/officeDocument/2006/relationships" name="Stock_Health" sheetId="11" state="visible" r:id="rId11"/>
    <sheet xmlns:r="http://schemas.openxmlformats.org/officeDocument/2006/relationships" name="Slow_Moving" sheetId="12" state="visible" r:id="rId12"/>
    <sheet xmlns:r="http://schemas.openxmlformats.org/officeDocument/2006/relationships" name="Supplier_Performance" sheetId="13" state="visible" r:id="rId13"/>
    <sheet xmlns:r="http://schemas.openxmlformats.org/officeDocument/2006/relationships" name="Cost_per_Beneficiary" sheetId="14" state="visible" r:id="rId14"/>
    <sheet xmlns:r="http://schemas.openxmlformats.org/officeDocument/2006/relationships" name="Exception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yyyy-mm-dd"/>
    <numFmt numFmtId="167" formatCode="dd-mmm-yyyy"/>
  </numFmts>
  <fonts count="10">
    <font>
      <name val="Calibri"/>
      <family val="2"/>
      <color theme="1"/>
      <sz val="11"/>
      <scheme val="minor"/>
    </font>
    <font>
      <name val="Calibri"/>
      <b val="1"/>
      <color rgb="001F3B57"/>
      <sz val="15"/>
    </font>
    <font>
      <name val="Calibri"/>
      <i val="1"/>
      <color rgb="00595959"/>
      <sz val="9"/>
    </font>
    <font>
      <name val="Calibri"/>
      <b val="1"/>
      <sz val="10"/>
    </font>
    <font>
      <name val="Calibri"/>
      <sz val="10"/>
    </font>
    <font>
      <name val="Calibri"/>
      <b val="1"/>
      <color rgb="00595959"/>
      <sz val="8.5"/>
    </font>
    <font>
      <name val="Calibri"/>
      <b val="1"/>
      <color rgb="001F3B57"/>
      <sz val="11"/>
    </font>
    <font>
      <name val="Calibri"/>
      <b val="1"/>
      <color rgb="00FFFFFF"/>
      <sz val="9.5"/>
    </font>
    <font>
      <name val="Calibri"/>
      <sz val="9.5"/>
    </font>
    <font>
      <name val="Calibri"/>
      <b val="1"/>
      <sz val="9.5"/>
    </font>
  </fonts>
  <fills count="4">
    <fill>
      <patternFill/>
    </fill>
    <fill>
      <patternFill patternType="gray125"/>
    </fill>
    <fill>
      <patternFill patternType="solid">
        <fgColor rgb="00EEF3F8"/>
      </patternFill>
    </fill>
    <fill>
      <patternFill patternType="solid">
        <fgColor rgb="001F3B57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3" fontId="1" fillId="2" borderId="1" applyAlignment="1" pivotButton="0" quotePrefix="0" xfId="0">
      <alignment horizontal="center"/>
    </xf>
    <xf numFmtId="2" fontId="1" fillId="2" borderId="1" applyAlignment="1" pivotButton="0" quotePrefix="0" xfId="0">
      <alignment horizontal="center"/>
    </xf>
    <xf numFmtId="164" fontId="1" fillId="2" borderId="1" applyAlignment="1" pivotButton="0" quotePrefix="0" xfId="0">
      <alignment horizontal="center"/>
    </xf>
    <xf numFmtId="4" fontId="1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8" fillId="0" borderId="0" pivotButton="0" quotePrefix="0" xfId="0"/>
    <xf numFmtId="2" fontId="8" fillId="0" borderId="0" pivotButton="0" quotePrefix="0" xfId="0"/>
    <xf numFmtId="0" fontId="7" fillId="3" borderId="0" pivotButton="0" quotePrefix="0" xfId="0"/>
    <xf numFmtId="3" fontId="0" fillId="0" borderId="0" pivotButton="0" quotePrefix="0" xfId="0"/>
    <xf numFmtId="4" fontId="8" fillId="0" borderId="0" pivotButton="0" quotePrefix="0" xfId="0"/>
    <xf numFmtId="164" fontId="8" fillId="0" borderId="0" pivotButton="0" quotePrefix="0" xfId="0"/>
    <xf numFmtId="0" fontId="9" fillId="2" borderId="0" pivotButton="0" quotePrefix="0" xfId="0"/>
    <xf numFmtId="3" fontId="9" fillId="2" borderId="0" pivotButton="0" quotePrefix="0" xfId="0"/>
    <xf numFmtId="165" fontId="8" fillId="0" borderId="0" pivotButton="0" quotePrefix="0" xfId="0"/>
    <xf numFmtId="0" fontId="8" fillId="0" borderId="1" pivotButton="0" quotePrefix="0" xfId="0"/>
    <xf numFmtId="3" fontId="8" fillId="0" borderId="1" pivotButton="0" quotePrefix="0" xfId="0"/>
    <xf numFmtId="2" fontId="8" fillId="0" borderId="1" pivotButton="0" quotePrefix="0" xfId="0"/>
    <xf numFmtId="4" fontId="8" fillId="0" borderId="1" pivotButton="0" quotePrefix="0" xfId="0"/>
    <xf numFmtId="0" fontId="9" fillId="2" borderId="1" pivotButton="0" quotePrefix="0" xfId="0"/>
    <xf numFmtId="3" fontId="9" fillId="2" borderId="1" pivotButton="0" quotePrefix="0" xfId="0"/>
    <xf numFmtId="2" fontId="9" fillId="2" borderId="1" pivotButton="0" quotePrefix="0" xfId="0"/>
    <xf numFmtId="4" fontId="9" fillId="2" borderId="1" pivotButton="0" quotePrefix="0" xfId="0"/>
    <xf numFmtId="167" fontId="8" fillId="0" borderId="1" pivotButton="0" quotePrefix="0" xfId="0"/>
    <xf numFmtId="164" fontId="8" fillId="0" borderId="1" pivotButton="0" quotePrefix="0" xfId="0"/>
    <xf numFmtId="164" fontId="9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Consumption vs procurement investment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'KPI_Dashboard'!C10</f>
            </strRef>
          </tx>
          <spPr>
            <a:ln xmlns:a="http://schemas.openxmlformats.org/drawingml/2006/main" w="22000">
              <a:solidFill>
                <a:srgbClr val="1F3B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'KPI_Dashboard'!$B$11:$B$37</f>
            </numRef>
          </cat>
          <val>
            <numRef>
              <f>'KPI_Dashboard'!$C$11:$C$37</f>
            </numRef>
          </val>
        </ser>
        <ser>
          <idx val="1"/>
          <order val="1"/>
          <tx>
            <strRef>
              <f>'KPI_Dashboard'!D10</f>
            </strRef>
          </tx>
          <spPr>
            <a:ln xmlns:a="http://schemas.openxmlformats.org/drawingml/2006/main" w="22000">
              <a:solidFill>
                <a:srgbClr val="2A7F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'KPI_Dashboard'!$B$11:$B$37</f>
            </numRef>
          </cat>
          <val>
            <numRef>
              <f>'KPI_Dashboard'!$D$11:$D$37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projects by consumption value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'KPI_Dashboard'!C40</f>
            </strRef>
          </tx>
          <spPr>
            <a:solidFill xmlns:a="http://schemas.openxmlformats.org/drawingml/2006/main">
              <a:srgbClr val="1F3B57"/>
            </a:solidFill>
            <a:ln xmlns:a="http://schemas.openxmlformats.org/drawingml/2006/main">
              <a:prstDash val="solid"/>
            </a:ln>
          </spPr>
          <cat>
            <numRef>
              <f>'KPI_Dashboard'!$B$41:$B$50</f>
            </numRef>
          </cat>
          <val>
            <numRef>
              <f>'KPI_Dashboard'!$C$41:$C$50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Consumption by product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'KPI_Dashboard'!C53</f>
            </strRef>
          </tx>
          <spPr>
            <a:solidFill xmlns:a="http://schemas.openxmlformats.org/drawingml/2006/main">
              <a:srgbClr val="2A7F8F"/>
            </a:solidFill>
            <a:ln xmlns:a="http://schemas.openxmlformats.org/drawingml/2006/main">
              <a:prstDash val="solid"/>
            </a:ln>
          </spPr>
          <cat>
            <numRef>
              <f>'KPI_Dashboard'!$B$54:$B$59</f>
            </numRef>
          </cat>
          <val>
            <numRef>
              <f>'KPI_Dashboard'!$C$54:$C$59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consumption value and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'Trend_Monthly'!B5</f>
            </strRef>
          </tx>
          <spPr>
            <a:solidFill xmlns:a="http://schemas.openxmlformats.org/drawingml/2006/main">
              <a:srgbClr val="1F3B57"/>
            </a:solidFill>
            <a:ln xmlns:a="http://schemas.openxmlformats.org/drawingml/2006/main" w="2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'Trend_Monthly'!$A$6:$A$32</f>
            </numRef>
          </cat>
          <val>
            <numRef>
              <f>'Trend_Monthly'!$B$6:$B$32</f>
            </numRef>
          </val>
        </ser>
        <ser>
          <idx val="1"/>
          <order val="1"/>
          <tx>
            <strRef>
              <f>'Trend_Monthly'!G5</f>
            </strRef>
          </tx>
          <spPr>
            <a:ln xmlns:a="http://schemas.openxmlformats.org/drawingml/2006/main" w="18000">
              <a:solidFill>
                <a:srgbClr val="2A7F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'Trend_Monthly'!$A$6:$A$32</f>
            </numRef>
          </cat>
          <val>
            <numRef>
              <f>'Trend_Monthly'!$G$6:$G$32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PKR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39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52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F13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  <col width="16" customWidth="1" min="4" max="4"/>
  </cols>
  <sheetData>
    <row r="1">
      <c r="A1" s="1" t="inlineStr">
        <is>
          <t>VPT – Consumption Analysis Workbook</t>
        </is>
      </c>
    </row>
    <row r="2">
      <c r="A2" s="2" t="inlineStr">
        <is>
          <t>Analysis pack built from the sample Oracle-style dataset. All figures derive from VPT_Consumption_Dataset.xlsx.</t>
        </is>
      </c>
    </row>
    <row r="3" ht="6" customHeight="1"/>
    <row r="5" ht="30" customHeight="1">
      <c r="B5" s="3" t="inlineStr">
        <is>
          <t>Purpose</t>
        </is>
      </c>
      <c r="C5" s="4" t="inlineStr">
        <is>
          <t>Demonstrates the KPIs, views and exception logic specified in the BRD, using the sample dataset. Use it to validate definitions before the Oracle build.</t>
        </is>
      </c>
    </row>
    <row r="6" ht="15" customHeight="1">
      <c r="B6" s="3" t="inlineStr">
        <is>
          <t>Reporting period</t>
        </is>
      </c>
      <c r="C6" s="4" t="inlineStr">
        <is>
          <t>06-Jul-2024 to 30-Sep-2026 (27 months, fiscal years FY2024-25 to FY2026-27 Q1).</t>
        </is>
      </c>
    </row>
    <row r="7" ht="15" customHeight="1">
      <c r="B7" s="3" t="inlineStr">
        <is>
          <t>Data as at</t>
        </is>
      </c>
      <c r="C7" s="4" t="inlineStr">
        <is>
          <t>30-Sep-2026</t>
        </is>
      </c>
    </row>
    <row r="8" ht="30" customHeight="1">
      <c r="B8" s="3" t="inlineStr">
        <is>
          <t>Basis of measurement</t>
        </is>
      </c>
      <c r="C8" s="4" t="inlineStr">
        <is>
          <t>Consumption = inventory issue value excluding inter-store transfers (BRD TR-08). Investment = purchase order value excluding cancelled orders. Received = GRN value.</t>
        </is>
      </c>
    </row>
    <row r="9" ht="15" customHeight="1">
      <c r="B9" s="3" t="inlineStr">
        <is>
          <t>Currency</t>
        </is>
      </c>
      <c r="C9" s="4" t="inlineStr">
        <is>
          <t>PKR, excluding sales tax.</t>
        </is>
      </c>
    </row>
    <row r="10" ht="45" customHeight="1">
      <c r="B10" s="3" t="inlineStr">
        <is>
          <t>Sheets</t>
        </is>
      </c>
      <c r="C10" s="4" t="inlineStr">
        <is>
          <t>KPI_Dashboard · Trend_Monthly · Project_Analysis · Project_Category · Product_Analysis · Product_Monthly · Category_Analysis · Budget_vs_Consumption · Price_Variance · Stock_Health · Slow_Moving · Supplier_Performance · Cost_per_Beneficiary · Exceptions</t>
        </is>
      </c>
    </row>
    <row r="11" ht="30" customHeight="1">
      <c r="B11" s="3" t="inlineStr">
        <is>
          <t>How to use</t>
        </is>
      </c>
      <c r="C11" s="4" t="inlineStr">
        <is>
          <t>Start at KPI_Dashboard for the headline position, then move to Project_Analysis or Product_Analysis. Exception and stock sheets explain the gaps.</t>
        </is>
      </c>
    </row>
    <row r="12" ht="30" customHeight="1">
      <c r="B12" s="3" t="inlineStr">
        <is>
          <t>Headline result</t>
        </is>
      </c>
      <c r="C12" s="4" t="inlineStr">
        <is>
          <t>Consumption PKR 259.5m against investment PKR 301.3m — ratio 0.86. Unattributed consumption 2.1% of value.</t>
        </is>
      </c>
    </row>
    <row r="13" ht="30" customHeight="1">
      <c r="B13" s="3" t="inlineStr">
        <is>
          <t>Caveat</t>
        </is>
      </c>
      <c r="C13" s="4" t="inlineStr">
        <is>
          <t>Synthetic data. Organisation and supplier names are used for realism only. Replace with Oracle extracts when the extract is available.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F8F"/>
    <outlinePr summaryBelow="1" summaryRight="1"/>
    <pageSetUpPr/>
  </sheetPr>
  <dimension ref="A1:I71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Consumption Analysis – Executive Dashboard</t>
        </is>
      </c>
    </row>
    <row r="2">
      <c r="A2" s="2" t="inlineStr">
        <is>
          <t>Reporting period Jul-2024 to Sep-2026  |  Data as at 30-Sep-2026  |  PKR millions where shown</t>
        </is>
      </c>
    </row>
    <row r="3" ht="6" customHeight="1"/>
    <row r="5" ht="30" customHeight="1">
      <c r="B5" s="5" t="inlineStr">
        <is>
          <t>Consumption value
(PKR)</t>
        </is>
      </c>
      <c r="C5" s="5" t="inlineStr">
        <is>
          <t>Procurement investment
(PKR)</t>
        </is>
      </c>
      <c r="D5" s="5" t="inlineStr">
        <is>
          <t>Consumption-to-
investment ratio</t>
        </is>
      </c>
      <c r="E5" s="5" t="inlineStr">
        <is>
          <t>Received value
(PKR)</t>
        </is>
      </c>
      <c r="F5" s="5" t="inlineStr">
        <is>
          <t>Product budget
(PKR)</t>
        </is>
      </c>
      <c r="G5" s="5" t="inlineStr">
        <is>
          <t>Budget utilisation</t>
        </is>
      </c>
      <c r="H5" s="5" t="inlineStr">
        <is>
          <t>Unattributed
consumption</t>
        </is>
      </c>
      <c r="I5" s="5" t="inlineStr">
        <is>
          <t>Cost per beneficiary
(PKR)</t>
        </is>
      </c>
    </row>
    <row r="6" ht="24" customHeight="1">
      <c r="B6" s="6" t="n">
        <v>259518399.91</v>
      </c>
      <c r="C6" s="6" t="n">
        <v>301271940.73</v>
      </c>
      <c r="D6" s="7" t="n">
        <v>0.8614091285141634</v>
      </c>
      <c r="E6" s="6" t="n">
        <v>302153329.5</v>
      </c>
      <c r="F6" s="6" t="n">
        <v>337141000</v>
      </c>
      <c r="G6" s="8" t="n">
        <v>0.7697622060502876</v>
      </c>
      <c r="H6" s="8" t="n">
        <v>0.02101364952115621</v>
      </c>
      <c r="I6" s="9" t="n">
        <v>376.533812965193</v>
      </c>
    </row>
    <row r="9">
      <c r="B9" s="10" t="inlineStr">
        <is>
          <t>Monthly trend – consumption, investment and received value (PKR)</t>
        </is>
      </c>
      <c r="I9" s="2" t="inlineStr"/>
    </row>
    <row r="10" ht="30" customHeight="1">
      <c r="A10" s="11" t="inlineStr">
        <is>
          <t>Month</t>
        </is>
      </c>
      <c r="B10" s="11" t="inlineStr">
        <is>
          <t>Consumption</t>
        </is>
      </c>
      <c r="C10" s="11" t="inlineStr">
        <is>
          <t>Investment</t>
        </is>
      </c>
      <c r="D10" s="11" t="inlineStr">
        <is>
          <t>Received</t>
        </is>
      </c>
      <c r="E10" s="11" t="inlineStr">
        <is>
          <t>3-mo avg consumption</t>
        </is>
      </c>
      <c r="F10" s="11" t="inlineStr">
        <is>
          <t>Consumption / investment</t>
        </is>
      </c>
    </row>
    <row r="11">
      <c r="B11" s="12" t="inlineStr">
        <is>
          <t>Jul-2024</t>
        </is>
      </c>
      <c r="C11" s="13" t="n">
        <v>6552550.85</v>
      </c>
      <c r="D11" s="13" t="n">
        <v>8829804.58</v>
      </c>
      <c r="E11" s="13" t="n">
        <v>9883378.800000001</v>
      </c>
      <c r="F11" s="12" t="n"/>
      <c r="G11" s="14" t="n">
        <v>0.74</v>
      </c>
    </row>
    <row r="12">
      <c r="B12" s="12" t="inlineStr">
        <is>
          <t>Aug-2024</t>
        </is>
      </c>
      <c r="C12" s="13" t="n">
        <v>7859009.18</v>
      </c>
      <c r="D12" s="13" t="n">
        <v>9934672.93</v>
      </c>
      <c r="E12" s="13" t="n">
        <v>9436444.23</v>
      </c>
      <c r="F12" s="12" t="n"/>
      <c r="G12" s="14" t="n">
        <v>0.79</v>
      </c>
    </row>
    <row r="13">
      <c r="B13" s="12" t="inlineStr">
        <is>
          <t>Sep-2024</t>
        </is>
      </c>
      <c r="C13" s="13" t="n">
        <v>8130138.59</v>
      </c>
      <c r="D13" s="13" t="n">
        <v>7322131.49</v>
      </c>
      <c r="E13" s="13" t="n">
        <v>8444738.07</v>
      </c>
      <c r="F13" s="13" t="n">
        <v>7513899.54</v>
      </c>
      <c r="G13" s="14" t="n">
        <v>1.11</v>
      </c>
    </row>
    <row r="14">
      <c r="B14" s="12" t="inlineStr">
        <is>
          <t>Oct-2024</t>
        </is>
      </c>
      <c r="C14" s="13" t="n">
        <v>8339763.82</v>
      </c>
      <c r="D14" s="13" t="n">
        <v>9849335.24</v>
      </c>
      <c r="E14" s="13" t="n">
        <v>8521426.109999999</v>
      </c>
      <c r="F14" s="13" t="n">
        <v>8109637.2</v>
      </c>
      <c r="G14" s="14" t="n">
        <v>0.85</v>
      </c>
    </row>
    <row r="15">
      <c r="B15" s="12" t="inlineStr">
        <is>
          <t>Nov-2024</t>
        </is>
      </c>
      <c r="C15" s="13" t="n">
        <v>6860512.45</v>
      </c>
      <c r="D15" s="13" t="n">
        <v>11708867.97</v>
      </c>
      <c r="E15" s="13" t="n">
        <v>8660487.060000001</v>
      </c>
      <c r="F15" s="13" t="n">
        <v>7776804.95</v>
      </c>
      <c r="G15" s="14" t="n">
        <v>0.59</v>
      </c>
    </row>
    <row r="16">
      <c r="B16" s="12" t="inlineStr">
        <is>
          <t>Dec-2024</t>
        </is>
      </c>
      <c r="C16" s="13" t="n">
        <v>7719765.87</v>
      </c>
      <c r="D16" s="13" t="n">
        <v>11958567.49</v>
      </c>
      <c r="E16" s="13" t="n">
        <v>11884810.61</v>
      </c>
      <c r="F16" s="13" t="n">
        <v>7640014.05</v>
      </c>
      <c r="G16" s="14" t="n">
        <v>0.65</v>
      </c>
    </row>
    <row r="17">
      <c r="B17" s="12" t="inlineStr">
        <is>
          <t>Jan-2025</t>
        </is>
      </c>
      <c r="C17" s="13" t="n">
        <v>11481889.89</v>
      </c>
      <c r="D17" s="13" t="n">
        <v>13176682.27</v>
      </c>
      <c r="E17" s="13" t="n">
        <v>12779526.8</v>
      </c>
      <c r="F17" s="13" t="n">
        <v>8687389.4</v>
      </c>
      <c r="G17" s="14" t="n">
        <v>0.87</v>
      </c>
    </row>
    <row r="18">
      <c r="B18" s="12" t="inlineStr">
        <is>
          <t>Feb-2025</t>
        </is>
      </c>
      <c r="C18" s="13" t="n">
        <v>10573316.45</v>
      </c>
      <c r="D18" s="13" t="n">
        <v>8334350.99</v>
      </c>
      <c r="E18" s="13" t="n">
        <v>11313308.1</v>
      </c>
      <c r="F18" s="13" t="n">
        <v>9924990.74</v>
      </c>
      <c r="G18" s="14" t="n">
        <v>1.27</v>
      </c>
    </row>
    <row r="19">
      <c r="B19" s="12" t="inlineStr">
        <is>
          <t>Mar-2025</t>
        </is>
      </c>
      <c r="C19" s="13" t="n">
        <v>8868301.65</v>
      </c>
      <c r="D19" s="13" t="n">
        <v>9829521.92</v>
      </c>
      <c r="E19" s="13" t="n">
        <v>10294541.98</v>
      </c>
      <c r="F19" s="13" t="n">
        <v>10307836</v>
      </c>
      <c r="G19" s="14" t="n">
        <v>0.9</v>
      </c>
    </row>
    <row r="20">
      <c r="B20" s="12" t="inlineStr">
        <is>
          <t>Apr-2025</t>
        </is>
      </c>
      <c r="C20" s="13" t="n">
        <v>8388334.77</v>
      </c>
      <c r="D20" s="13" t="n">
        <v>9430510.52</v>
      </c>
      <c r="E20" s="13" t="n">
        <v>9015943.07</v>
      </c>
      <c r="F20" s="13" t="n">
        <v>9276650.960000001</v>
      </c>
      <c r="G20" s="14" t="n">
        <v>0.89</v>
      </c>
    </row>
    <row r="21">
      <c r="B21" s="12" t="inlineStr">
        <is>
          <t>May-2025</t>
        </is>
      </c>
      <c r="C21" s="13" t="n">
        <v>8167457.51</v>
      </c>
      <c r="D21" s="13" t="n">
        <v>12089537.53</v>
      </c>
      <c r="E21" s="13" t="n">
        <v>10336996.47</v>
      </c>
      <c r="F21" s="13" t="n">
        <v>8474697.98</v>
      </c>
      <c r="G21" s="14" t="n">
        <v>0.68</v>
      </c>
    </row>
    <row r="22">
      <c r="B22" s="12" t="inlineStr">
        <is>
          <t>Jun-2025</t>
        </is>
      </c>
      <c r="C22" s="13" t="n">
        <v>8570464.390000001</v>
      </c>
      <c r="D22" s="13" t="n">
        <v>15775287.36</v>
      </c>
      <c r="E22" s="13" t="n">
        <v>10684447.99</v>
      </c>
      <c r="F22" s="13" t="n">
        <v>8375418.89</v>
      </c>
      <c r="G22" s="14" t="n">
        <v>0.54</v>
      </c>
    </row>
    <row r="23">
      <c r="B23" s="12" t="inlineStr">
        <is>
          <t>Jul-2025</t>
        </is>
      </c>
      <c r="C23" s="13" t="n">
        <v>10274302.08</v>
      </c>
      <c r="D23" s="13" t="n">
        <v>15866990.65</v>
      </c>
      <c r="E23" s="13" t="n">
        <v>16366140.28</v>
      </c>
      <c r="F23" s="13" t="n">
        <v>9004074.66</v>
      </c>
      <c r="G23" s="14" t="n">
        <v>0.65</v>
      </c>
    </row>
    <row r="24">
      <c r="B24" s="12" t="inlineStr">
        <is>
          <t>Aug-2025</t>
        </is>
      </c>
      <c r="C24" s="13" t="n">
        <v>14945962.17</v>
      </c>
      <c r="D24" s="13" t="n">
        <v>13560274.44</v>
      </c>
      <c r="E24" s="13" t="n">
        <v>15954134</v>
      </c>
      <c r="F24" s="13" t="n">
        <v>11263576.21</v>
      </c>
      <c r="G24" s="14" t="n">
        <v>1.1</v>
      </c>
    </row>
    <row r="25">
      <c r="B25" s="12" t="inlineStr">
        <is>
          <t>Sep-2025</t>
        </is>
      </c>
      <c r="C25" s="13" t="n">
        <v>14094437.04</v>
      </c>
      <c r="D25" s="13" t="n">
        <v>10660714.36</v>
      </c>
      <c r="E25" s="13" t="n">
        <v>13317835.71</v>
      </c>
      <c r="F25" s="13" t="n">
        <v>13104900.43</v>
      </c>
      <c r="G25" s="14" t="n">
        <v>1.32</v>
      </c>
    </row>
    <row r="26">
      <c r="B26" s="12" t="inlineStr">
        <is>
          <t>Oct-2025</t>
        </is>
      </c>
      <c r="C26" s="13" t="n">
        <v>10336996.95</v>
      </c>
      <c r="D26" s="13" t="n">
        <v>12187911.12</v>
      </c>
      <c r="E26" s="13" t="n">
        <v>10489047.92</v>
      </c>
      <c r="F26" s="13" t="n">
        <v>13125798.72</v>
      </c>
      <c r="G26" s="14" t="n">
        <v>0.85</v>
      </c>
    </row>
    <row r="27">
      <c r="B27" s="12" t="inlineStr">
        <is>
          <t>Nov-2025</t>
        </is>
      </c>
      <c r="C27" s="13" t="n">
        <v>8687316.52</v>
      </c>
      <c r="D27" s="13" t="n">
        <v>12621958.56</v>
      </c>
      <c r="E27" s="13" t="n">
        <v>12560244.13</v>
      </c>
      <c r="F27" s="13" t="n">
        <v>11039583.5</v>
      </c>
      <c r="G27" s="14" t="n">
        <v>0.6899999999999999</v>
      </c>
    </row>
    <row r="28">
      <c r="B28" s="12" t="inlineStr">
        <is>
          <t>Dec-2025</t>
        </is>
      </c>
      <c r="C28" s="13" t="n">
        <v>10430181.26</v>
      </c>
      <c r="D28" s="13" t="n">
        <v>12970667.95</v>
      </c>
      <c r="E28" s="13" t="n">
        <v>13106597.72</v>
      </c>
      <c r="F28" s="13" t="n">
        <v>9818164.91</v>
      </c>
      <c r="G28" s="14" t="n">
        <v>0.8</v>
      </c>
    </row>
    <row r="29">
      <c r="B29" s="12" t="inlineStr">
        <is>
          <t>Jan-2026</t>
        </is>
      </c>
      <c r="C29" s="13" t="n">
        <v>11434698.9</v>
      </c>
      <c r="D29" s="13" t="n">
        <v>10200557.98</v>
      </c>
      <c r="E29" s="13" t="n">
        <v>13014518.41</v>
      </c>
      <c r="F29" s="13" t="n">
        <v>10184065.56</v>
      </c>
      <c r="G29" s="14" t="n">
        <v>1.12</v>
      </c>
    </row>
    <row r="30">
      <c r="B30" s="12" t="inlineStr">
        <is>
          <t>Feb-2026</t>
        </is>
      </c>
      <c r="C30" s="13" t="n">
        <v>10946389.39</v>
      </c>
      <c r="D30" s="13" t="n">
        <v>8489969.029999999</v>
      </c>
      <c r="E30" s="13" t="n">
        <v>9536402.970000001</v>
      </c>
      <c r="F30" s="13" t="n">
        <v>10937089.85</v>
      </c>
      <c r="G30" s="14" t="n">
        <v>1.29</v>
      </c>
    </row>
    <row r="31">
      <c r="B31" s="12" t="inlineStr">
        <is>
          <t>Mar-2026</t>
        </is>
      </c>
      <c r="C31" s="13" t="n">
        <v>7548320.71</v>
      </c>
      <c r="D31" s="13" t="n">
        <v>9915760.84</v>
      </c>
      <c r="E31" s="13" t="n">
        <v>9696227.58</v>
      </c>
      <c r="F31" s="13" t="n">
        <v>9976469.67</v>
      </c>
      <c r="G31" s="14" t="n">
        <v>0.76</v>
      </c>
    </row>
    <row r="32">
      <c r="B32" s="12" t="inlineStr">
        <is>
          <t>Apr-2026</t>
        </is>
      </c>
      <c r="C32" s="13" t="n">
        <v>8207660.98</v>
      </c>
      <c r="D32" s="13" t="n">
        <v>9285882.529999999</v>
      </c>
      <c r="E32" s="13" t="n">
        <v>9626564.380000001</v>
      </c>
      <c r="F32" s="13" t="n">
        <v>8900790.359999999</v>
      </c>
      <c r="G32" s="14" t="n">
        <v>0.88</v>
      </c>
    </row>
    <row r="33">
      <c r="B33" s="12" t="inlineStr">
        <is>
          <t>May-2026</t>
        </is>
      </c>
      <c r="C33" s="13" t="n">
        <v>8102175.35</v>
      </c>
      <c r="D33" s="13" t="n">
        <v>13669214.17</v>
      </c>
      <c r="E33" s="13" t="n">
        <v>10419703.34</v>
      </c>
      <c r="F33" s="13" t="n">
        <v>7952719.01</v>
      </c>
      <c r="G33" s="14" t="n">
        <v>0.59</v>
      </c>
    </row>
    <row r="34">
      <c r="B34" s="12" t="inlineStr">
        <is>
          <t>Jun-2026</t>
        </is>
      </c>
      <c r="C34" s="13" t="n">
        <v>8977081.619999999</v>
      </c>
      <c r="D34" s="13" t="n">
        <v>12703541.46</v>
      </c>
      <c r="E34" s="13" t="n">
        <v>11700054.42</v>
      </c>
      <c r="F34" s="13" t="n">
        <v>8428972.65</v>
      </c>
      <c r="G34" s="14" t="n">
        <v>0.71</v>
      </c>
    </row>
    <row r="35">
      <c r="B35" s="12" t="inlineStr">
        <is>
          <t>Jul-2026</t>
        </is>
      </c>
      <c r="C35" s="13" t="n">
        <v>11481870.36</v>
      </c>
      <c r="D35" s="13" t="n">
        <v>13735210.75</v>
      </c>
      <c r="E35" s="13" t="n">
        <v>13023533.22</v>
      </c>
      <c r="F35" s="13" t="n">
        <v>9520375.779999999</v>
      </c>
      <c r="G35" s="14" t="n">
        <v>0.84</v>
      </c>
    </row>
    <row r="36">
      <c r="B36" s="12" t="inlineStr">
        <is>
          <t>Aug-2026</t>
        </is>
      </c>
      <c r="C36" s="13" t="n">
        <v>11176479.95</v>
      </c>
      <c r="D36" s="13" t="n">
        <v>3073388.22</v>
      </c>
      <c r="E36" s="13" t="n">
        <v>14591692.66</v>
      </c>
      <c r="F36" s="13" t="n">
        <v>10545143.98</v>
      </c>
      <c r="G36" s="14" t="n">
        <v>3.64</v>
      </c>
    </row>
    <row r="37">
      <c r="B37" s="12" t="inlineStr">
        <is>
          <t>Sep-2026</t>
        </is>
      </c>
      <c r="C37" s="13" t="n">
        <v>11363021.21</v>
      </c>
      <c r="D37" s="13" t="n">
        <v>0</v>
      </c>
      <c r="E37" s="13" t="n">
        <v>4319712.16</v>
      </c>
      <c r="F37" s="13" t="n">
        <v>11340457.17</v>
      </c>
      <c r="G37" s="14" t="n"/>
    </row>
    <row r="40">
      <c r="B40" s="15" t="inlineStr">
        <is>
          <t>Project</t>
        </is>
      </c>
      <c r="C40" s="15" t="inlineStr">
        <is>
          <t>Consumption value</t>
        </is>
      </c>
    </row>
    <row r="41">
      <c r="B41" t="inlineStr">
        <is>
          <t>Maternal &amp; Child Health Programme - Korangi</t>
        </is>
      </c>
      <c r="C41" s="16" t="n">
        <v>59972050.35</v>
      </c>
    </row>
    <row r="42">
      <c r="B42" t="inlineStr">
        <is>
          <t>Nutrition Stabilisation Centre - Malir</t>
        </is>
      </c>
      <c r="C42" s="16" t="n">
        <v>45028073.95</v>
      </c>
    </row>
    <row r="43">
      <c r="B43" t="inlineStr">
        <is>
          <t>TB DOTS Expansion - Karachi South</t>
        </is>
      </c>
      <c r="C43" s="16" t="n">
        <v>32822434.95</v>
      </c>
    </row>
    <row r="44">
      <c r="B44" t="inlineStr">
        <is>
          <t>Primary Healthcare Support - Tharparkar</t>
        </is>
      </c>
      <c r="C44" s="16" t="n">
        <v>30784616.24</v>
      </c>
    </row>
    <row r="45">
      <c r="B45" t="inlineStr">
        <is>
          <t>Thalassaemia Support Programme - Gadap</t>
        </is>
      </c>
      <c r="C45" s="16" t="n">
        <v>23634654.19</v>
      </c>
    </row>
    <row r="46">
      <c r="B46" t="inlineStr">
        <is>
          <t>Emergency Obstetric Care - Lyari</t>
        </is>
      </c>
      <c r="C46" s="16" t="n">
        <v>16873849.36</v>
      </c>
    </row>
    <row r="47">
      <c r="B47" t="inlineStr">
        <is>
          <t>Rural Health Centre Strengthening - Jamshoro</t>
        </is>
      </c>
      <c r="C47" s="16" t="n">
        <v>15108645.72</v>
      </c>
    </row>
    <row r="48">
      <c r="B48" t="inlineStr">
        <is>
          <t>Community Health Worker Programme - Bin Qasim</t>
        </is>
      </c>
      <c r="C48" s="16" t="n">
        <v>13132316.23</v>
      </c>
    </row>
    <row r="49">
      <c r="B49" t="inlineStr">
        <is>
          <t>Flood Response &amp; Health Recovery - Dadu</t>
        </is>
      </c>
      <c r="C49" s="16" t="n">
        <v>12653420.13</v>
      </c>
    </row>
    <row r="50">
      <c r="B50" t="inlineStr">
        <is>
          <t>Unattributed</t>
        </is>
      </c>
      <c r="C50" s="16" t="n">
        <v>5115579.99</v>
      </c>
    </row>
    <row r="53">
      <c r="B53" s="15" t="inlineStr">
        <is>
          <t>Category</t>
        </is>
      </c>
      <c r="C53" s="15" t="inlineStr">
        <is>
          <t>Consumption value</t>
        </is>
      </c>
    </row>
    <row r="54">
      <c r="B54" t="inlineStr">
        <is>
          <t>Medicines</t>
        </is>
      </c>
      <c r="C54" s="16" t="n">
        <v>87591186.48</v>
      </c>
    </row>
    <row r="55">
      <c r="B55" t="inlineStr">
        <is>
          <t>Medical Consumables</t>
        </is>
      </c>
      <c r="C55" s="16" t="n">
        <v>70981774.75</v>
      </c>
    </row>
    <row r="56">
      <c r="B56" t="inlineStr">
        <is>
          <t>Nutrition</t>
        </is>
      </c>
      <c r="C56" s="16" t="n">
        <v>68770617.02</v>
      </c>
    </row>
    <row r="57">
      <c r="B57" t="inlineStr">
        <is>
          <t>Laboratory</t>
        </is>
      </c>
      <c r="C57" s="16" t="n">
        <v>20925345.75</v>
      </c>
    </row>
    <row r="58">
      <c r="B58" t="inlineStr">
        <is>
          <t>General Items</t>
        </is>
      </c>
      <c r="C58" s="16" t="n">
        <v>11158761.66</v>
      </c>
    </row>
    <row r="59">
      <c r="B59" t="inlineStr">
        <is>
          <t>Equipment</t>
        </is>
      </c>
      <c r="C59" s="16" t="n">
        <v>90714.25</v>
      </c>
    </row>
    <row r="62">
      <c r="B62" s="10" t="inlineStr">
        <is>
          <t>Attention list (threshold breaches)</t>
        </is>
      </c>
    </row>
    <row r="63" ht="30" customHeight="1">
      <c r="A63" s="11" t="inlineStr">
        <is>
          <t>Exception</t>
        </is>
      </c>
      <c r="B63" s="11" t="inlineStr">
        <is>
          <t>Count / value</t>
        </is>
      </c>
      <c r="C63" s="11" t="inlineStr">
        <is>
          <t>Note</t>
        </is>
      </c>
    </row>
    <row r="64">
      <c r="B64" s="12" t="inlineStr">
        <is>
          <t>Items below 30 days of cover</t>
        </is>
      </c>
      <c r="C64" s="13" t="n">
        <v>0</v>
      </c>
      <c r="D64" s="12" t="inlineStr">
        <is>
          <t>Check reorder and open commitments</t>
        </is>
      </c>
    </row>
    <row r="65">
      <c r="B65" s="12" t="inlineStr">
        <is>
          <t>Batches expiring within 60 days (value, PKR)</t>
        </is>
      </c>
      <c r="C65" s="13" t="n">
        <v>437490.21</v>
      </c>
      <c r="D65" s="12" t="inlineStr">
        <is>
          <t>Redistribute or write off</t>
        </is>
      </c>
    </row>
    <row r="66">
      <c r="B66" s="12" t="inlineStr">
        <is>
          <t>Expired stock not written off (value, PKR)</t>
        </is>
      </c>
      <c r="C66" s="13" t="n">
        <v>683282.38</v>
      </c>
      <c r="D66" s="12" t="inlineStr">
        <is>
          <t>Approve write-off</t>
        </is>
      </c>
    </row>
    <row r="67">
      <c r="B67" s="12" t="inlineStr">
        <is>
          <t>Unattributed consumption (value, PKR)</t>
        </is>
      </c>
      <c r="C67" s="13" t="n">
        <v>5453428.7</v>
      </c>
      <c r="D67" s="12" t="inlineStr">
        <is>
          <t>Correct project coding at issue</t>
        </is>
      </c>
    </row>
    <row r="68">
      <c r="B68" s="12" t="inlineStr">
        <is>
          <t>Zero-value purchase lines</t>
        </is>
      </c>
      <c r="C68" s="13" t="n">
        <v>50</v>
      </c>
      <c r="D68" s="12" t="inlineStr">
        <is>
          <t>Confirm in-kind / donated stock</t>
        </is>
      </c>
    </row>
    <row r="69">
      <c r="B69" s="12" t="inlineStr">
        <is>
          <t>Cancelled purchase orders</t>
        </is>
      </c>
      <c r="C69" s="13" t="n">
        <v>854</v>
      </c>
      <c r="D69" s="12" t="inlineStr">
        <is>
          <t>Remove from commitment reporting</t>
        </is>
      </c>
    </row>
    <row r="70">
      <c r="B70" s="12" t="inlineStr">
        <is>
          <t>Duplicate receipt candidates</t>
        </is>
      </c>
      <c r="C70" s="13" t="n">
        <v>8</v>
      </c>
      <c r="D70" s="12" t="inlineStr">
        <is>
          <t>Deduplicate before loading</t>
        </is>
      </c>
    </row>
    <row r="71">
      <c r="B71" s="12" t="inlineStr">
        <is>
          <t>Item-project-months with unmet demand</t>
        </is>
      </c>
      <c r="C71" s="13" t="n">
        <v>54</v>
      </c>
      <c r="D71" s="12" t="inlineStr">
        <is>
          <t>Review supply and lead time</t>
        </is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F8F"/>
    <outlinePr summaryBelow="1" summaryRight="1"/>
    <pageSetUpPr/>
  </sheetPr>
  <dimension ref="A1:I71"/>
  <sheetViews>
    <sheetView showGridLines="0" zoomScale="9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Monthly Trend Analysis</t>
        </is>
      </c>
    </row>
    <row r="2">
      <c r="A2" s="2" t="inlineStr">
        <is>
          <t>Consumption excludes inter-store transfers. Growth is month-on-month; moving averages use prior months only.</t>
        </is>
      </c>
    </row>
    <row r="3" ht="6" customHeight="1"/>
    <row r="5" ht="30" customHeight="1">
      <c r="A5" s="11" t="inlineStr">
        <is>
          <t>Month</t>
        </is>
      </c>
      <c r="B5" s="11" t="inlineStr">
        <is>
          <t>Consumption value</t>
        </is>
      </c>
      <c r="C5" s="11" t="inlineStr">
        <is>
          <t>Quantity issued</t>
        </is>
      </c>
      <c r="D5" s="11" t="inlineStr">
        <is>
          <t>Investment (PO)</t>
        </is>
      </c>
      <c r="E5" s="11" t="inlineStr">
        <is>
          <t>Received value</t>
        </is>
      </c>
      <c r="F5" s="11" t="inlineStr">
        <is>
          <t>MoM growth</t>
        </is>
      </c>
      <c r="G5" s="11" t="inlineStr">
        <is>
          <t>3-mo moving avg</t>
        </is>
      </c>
      <c r="H5" s="11" t="inlineStr">
        <is>
          <t>12-mo moving avg</t>
        </is>
      </c>
      <c r="I5" s="11" t="inlineStr">
        <is>
          <t>Cost per beneficiary</t>
        </is>
      </c>
    </row>
    <row r="6">
      <c r="A6" s="12" t="inlineStr">
        <is>
          <t>Jul-2024</t>
        </is>
      </c>
      <c r="B6" s="13" t="n">
        <v>6552550.85</v>
      </c>
      <c r="C6" s="13" t="n">
        <v>254900</v>
      </c>
      <c r="D6" s="13" t="n">
        <v>8829804.58</v>
      </c>
      <c r="E6" s="13" t="n">
        <v>9883378.800000001</v>
      </c>
      <c r="F6" s="12" t="n"/>
      <c r="G6" s="12" t="n"/>
      <c r="H6" s="12" t="n"/>
      <c r="I6" s="17" t="n">
        <v>351.27</v>
      </c>
    </row>
    <row r="7">
      <c r="A7" s="12" t="inlineStr">
        <is>
          <t>Aug-2024</t>
        </is>
      </c>
      <c r="B7" s="13" t="n">
        <v>7859009.18</v>
      </c>
      <c r="C7" s="13" t="n">
        <v>270840</v>
      </c>
      <c r="D7" s="13" t="n">
        <v>9934672.93</v>
      </c>
      <c r="E7" s="13" t="n">
        <v>9436444.23</v>
      </c>
      <c r="F7" s="18" t="n">
        <v>0.1994</v>
      </c>
      <c r="G7" s="12" t="n"/>
      <c r="H7" s="12" t="n"/>
      <c r="I7" s="17" t="n">
        <v>391.35</v>
      </c>
    </row>
    <row r="8">
      <c r="A8" s="12" t="inlineStr">
        <is>
          <t>Sep-2024</t>
        </is>
      </c>
      <c r="B8" s="13" t="n">
        <v>8130138.59</v>
      </c>
      <c r="C8" s="13" t="n">
        <v>286135</v>
      </c>
      <c r="D8" s="13" t="n">
        <v>7322131.49</v>
      </c>
      <c r="E8" s="13" t="n">
        <v>8444738.07</v>
      </c>
      <c r="F8" s="18" t="n">
        <v>0.0345</v>
      </c>
      <c r="G8" s="13" t="n">
        <v>7513899.54</v>
      </c>
      <c r="H8" s="12" t="n"/>
      <c r="I8" s="17" t="n">
        <v>436.8</v>
      </c>
    </row>
    <row r="9">
      <c r="A9" s="12" t="inlineStr">
        <is>
          <t>Oct-2024</t>
        </is>
      </c>
      <c r="B9" s="13" t="n">
        <v>8339763.82</v>
      </c>
      <c r="C9" s="13" t="n">
        <v>292755</v>
      </c>
      <c r="D9" s="13" t="n">
        <v>9849335.24</v>
      </c>
      <c r="E9" s="13" t="n">
        <v>8521426.109999999</v>
      </c>
      <c r="F9" s="18" t="n">
        <v>0.0258</v>
      </c>
      <c r="G9" s="13" t="n">
        <v>8109637.2</v>
      </c>
      <c r="H9" s="12" t="n"/>
      <c r="I9" s="17" t="n">
        <v>380.52</v>
      </c>
    </row>
    <row r="10">
      <c r="A10" s="12" t="inlineStr">
        <is>
          <t>Nov-2024</t>
        </is>
      </c>
      <c r="B10" s="13" t="n">
        <v>6860512.45</v>
      </c>
      <c r="C10" s="13" t="n">
        <v>255462</v>
      </c>
      <c r="D10" s="13" t="n">
        <v>11708867.97</v>
      </c>
      <c r="E10" s="13" t="n">
        <v>8660487.060000001</v>
      </c>
      <c r="F10" s="18" t="n">
        <v>-0.1774</v>
      </c>
      <c r="G10" s="13" t="n">
        <v>7776804.95</v>
      </c>
      <c r="H10" s="12" t="n"/>
      <c r="I10" s="17" t="n">
        <v>314.93</v>
      </c>
    </row>
    <row r="11">
      <c r="A11" s="12" t="inlineStr">
        <is>
          <t>Dec-2024</t>
        </is>
      </c>
      <c r="B11" s="13" t="n">
        <v>7719765.87</v>
      </c>
      <c r="C11" s="13" t="n">
        <v>297383</v>
      </c>
      <c r="D11" s="13" t="n">
        <v>11958567.49</v>
      </c>
      <c r="E11" s="13" t="n">
        <v>11884810.61</v>
      </c>
      <c r="F11" s="18" t="n">
        <v>0.1252</v>
      </c>
      <c r="G11" s="13" t="n">
        <v>7640014.05</v>
      </c>
      <c r="H11" s="12" t="n"/>
      <c r="I11" s="17" t="n">
        <v>332.46</v>
      </c>
    </row>
    <row r="12">
      <c r="A12" s="12" t="inlineStr">
        <is>
          <t>Jan-2025</t>
        </is>
      </c>
      <c r="B12" s="13" t="n">
        <v>11481889.89</v>
      </c>
      <c r="C12" s="13" t="n">
        <v>416689</v>
      </c>
      <c r="D12" s="13" t="n">
        <v>13176682.27</v>
      </c>
      <c r="E12" s="13" t="n">
        <v>12779526.8</v>
      </c>
      <c r="F12" s="18" t="n">
        <v>0.4873</v>
      </c>
      <c r="G12" s="13" t="n">
        <v>8687389.4</v>
      </c>
      <c r="H12" s="12" t="n"/>
      <c r="I12" s="17" t="n">
        <v>442.7</v>
      </c>
    </row>
    <row r="13">
      <c r="A13" s="12" t="inlineStr">
        <is>
          <t>Feb-2025</t>
        </is>
      </c>
      <c r="B13" s="13" t="n">
        <v>10573316.45</v>
      </c>
      <c r="C13" s="13" t="n">
        <v>376324</v>
      </c>
      <c r="D13" s="13" t="n">
        <v>8334350.99</v>
      </c>
      <c r="E13" s="13" t="n">
        <v>11313308.1</v>
      </c>
      <c r="F13" s="18" t="n">
        <v>-0.0791</v>
      </c>
      <c r="G13" s="13" t="n">
        <v>9924990.74</v>
      </c>
      <c r="H13" s="12" t="n"/>
      <c r="I13" s="17" t="n">
        <v>369.03</v>
      </c>
    </row>
    <row r="14">
      <c r="A14" s="12" t="inlineStr">
        <is>
          <t>Mar-2025</t>
        </is>
      </c>
      <c r="B14" s="13" t="n">
        <v>8868301.65</v>
      </c>
      <c r="C14" s="13" t="n">
        <v>321416</v>
      </c>
      <c r="D14" s="13" t="n">
        <v>9829521.92</v>
      </c>
      <c r="E14" s="13" t="n">
        <v>10294541.98</v>
      </c>
      <c r="F14" s="18" t="n">
        <v>-0.1613</v>
      </c>
      <c r="G14" s="13" t="n">
        <v>10307836</v>
      </c>
      <c r="H14" s="12" t="n"/>
      <c r="I14" s="17" t="n">
        <v>307.72</v>
      </c>
    </row>
    <row r="15">
      <c r="A15" s="12" t="inlineStr">
        <is>
          <t>Apr-2025</t>
        </is>
      </c>
      <c r="B15" s="13" t="n">
        <v>8388334.77</v>
      </c>
      <c r="C15" s="13" t="n">
        <v>296568</v>
      </c>
      <c r="D15" s="13" t="n">
        <v>9430510.52</v>
      </c>
      <c r="E15" s="13" t="n">
        <v>9015943.07</v>
      </c>
      <c r="F15" s="18" t="n">
        <v>-0.0541</v>
      </c>
      <c r="G15" s="13" t="n">
        <v>9276650.960000001</v>
      </c>
      <c r="H15" s="12" t="n"/>
      <c r="I15" s="17" t="n">
        <v>281.78</v>
      </c>
    </row>
    <row r="16">
      <c r="A16" s="12" t="inlineStr">
        <is>
          <t>May-2025</t>
        </is>
      </c>
      <c r="B16" s="13" t="n">
        <v>8167457.51</v>
      </c>
      <c r="C16" s="13" t="n">
        <v>280560</v>
      </c>
      <c r="D16" s="13" t="n">
        <v>12089537.53</v>
      </c>
      <c r="E16" s="13" t="n">
        <v>10336996.47</v>
      </c>
      <c r="F16" s="18" t="n">
        <v>-0.0263</v>
      </c>
      <c r="G16" s="13" t="n">
        <v>8474697.98</v>
      </c>
      <c r="H16" s="12" t="n"/>
      <c r="I16" s="17" t="n">
        <v>296.92</v>
      </c>
    </row>
    <row r="17">
      <c r="A17" s="12" t="inlineStr">
        <is>
          <t>Jun-2025</t>
        </is>
      </c>
      <c r="B17" s="13" t="n">
        <v>8570464.390000001</v>
      </c>
      <c r="C17" s="13" t="n">
        <v>324753</v>
      </c>
      <c r="D17" s="13" t="n">
        <v>15775287.36</v>
      </c>
      <c r="E17" s="13" t="n">
        <v>10684447.99</v>
      </c>
      <c r="F17" s="18" t="n">
        <v>0.0493</v>
      </c>
      <c r="G17" s="13" t="n">
        <v>8375418.89</v>
      </c>
      <c r="H17" s="13" t="n">
        <v>8459292.119999999</v>
      </c>
      <c r="I17" s="17" t="n">
        <v>292.93</v>
      </c>
    </row>
    <row r="18">
      <c r="A18" s="12" t="inlineStr">
        <is>
          <t>Jul-2025</t>
        </is>
      </c>
      <c r="B18" s="13" t="n">
        <v>10274302.08</v>
      </c>
      <c r="C18" s="13" t="n">
        <v>369604</v>
      </c>
      <c r="D18" s="13" t="n">
        <v>15866990.65</v>
      </c>
      <c r="E18" s="13" t="n">
        <v>16366140.28</v>
      </c>
      <c r="F18" s="18" t="n">
        <v>0.1988</v>
      </c>
      <c r="G18" s="13" t="n">
        <v>9004074.66</v>
      </c>
      <c r="H18" s="13" t="n">
        <v>8769438.050000001</v>
      </c>
      <c r="I18" s="17" t="n">
        <v>379.03</v>
      </c>
    </row>
    <row r="19">
      <c r="A19" s="12" t="inlineStr">
        <is>
          <t>Aug-2025</t>
        </is>
      </c>
      <c r="B19" s="13" t="n">
        <v>14945962.17</v>
      </c>
      <c r="C19" s="13" t="n">
        <v>548178</v>
      </c>
      <c r="D19" s="13" t="n">
        <v>13560274.44</v>
      </c>
      <c r="E19" s="13" t="n">
        <v>15954134</v>
      </c>
      <c r="F19" s="18" t="n">
        <v>0.4547</v>
      </c>
      <c r="G19" s="13" t="n">
        <v>11263576.21</v>
      </c>
      <c r="H19" s="13" t="n">
        <v>9360017.470000001</v>
      </c>
      <c r="I19" s="17" t="n">
        <v>415.93</v>
      </c>
    </row>
    <row r="20">
      <c r="A20" s="12" t="inlineStr">
        <is>
          <t>Sep-2025</t>
        </is>
      </c>
      <c r="B20" s="13" t="n">
        <v>14094437.04</v>
      </c>
      <c r="C20" s="13" t="n">
        <v>469086</v>
      </c>
      <c r="D20" s="13" t="n">
        <v>10660714.36</v>
      </c>
      <c r="E20" s="13" t="n">
        <v>13317835.71</v>
      </c>
      <c r="F20" s="18" t="n">
        <v>-0.057</v>
      </c>
      <c r="G20" s="13" t="n">
        <v>13104900.43</v>
      </c>
      <c r="H20" s="13" t="n">
        <v>9857042.34</v>
      </c>
      <c r="I20" s="17" t="n">
        <v>375.53</v>
      </c>
    </row>
    <row r="21">
      <c r="A21" s="12" t="inlineStr">
        <is>
          <t>Oct-2025</t>
        </is>
      </c>
      <c r="B21" s="13" t="n">
        <v>10336996.95</v>
      </c>
      <c r="C21" s="13" t="n">
        <v>334862</v>
      </c>
      <c r="D21" s="13" t="n">
        <v>12187911.12</v>
      </c>
      <c r="E21" s="13" t="n">
        <v>10489047.92</v>
      </c>
      <c r="F21" s="18" t="n">
        <v>-0.2666</v>
      </c>
      <c r="G21" s="13" t="n">
        <v>13125798.72</v>
      </c>
      <c r="H21" s="13" t="n">
        <v>10023478.44</v>
      </c>
      <c r="I21" s="17" t="n">
        <v>380.75</v>
      </c>
    </row>
    <row r="22">
      <c r="A22" s="12" t="inlineStr">
        <is>
          <t>Nov-2025</t>
        </is>
      </c>
      <c r="B22" s="13" t="n">
        <v>8687316.52</v>
      </c>
      <c r="C22" s="13" t="n">
        <v>315657</v>
      </c>
      <c r="D22" s="13" t="n">
        <v>12621958.56</v>
      </c>
      <c r="E22" s="13" t="n">
        <v>12560244.13</v>
      </c>
      <c r="F22" s="18" t="n">
        <v>-0.1596</v>
      </c>
      <c r="G22" s="13" t="n">
        <v>11039583.5</v>
      </c>
      <c r="H22" s="13" t="n">
        <v>10175712.11</v>
      </c>
      <c r="I22" s="17" t="n">
        <v>354.19</v>
      </c>
    </row>
    <row r="23">
      <c r="A23" s="12" t="inlineStr">
        <is>
          <t>Dec-2025</t>
        </is>
      </c>
      <c r="B23" s="13" t="n">
        <v>10430181.26</v>
      </c>
      <c r="C23" s="13" t="n">
        <v>353937</v>
      </c>
      <c r="D23" s="13" t="n">
        <v>12970667.95</v>
      </c>
      <c r="E23" s="13" t="n">
        <v>13106597.72</v>
      </c>
      <c r="F23" s="18" t="n">
        <v>0.2006</v>
      </c>
      <c r="G23" s="13" t="n">
        <v>9818164.91</v>
      </c>
      <c r="H23" s="13" t="n">
        <v>10401580.06</v>
      </c>
      <c r="I23" s="17" t="n">
        <v>370.32</v>
      </c>
    </row>
    <row r="24">
      <c r="A24" s="12" t="inlineStr">
        <is>
          <t>Jan-2026</t>
        </is>
      </c>
      <c r="B24" s="13" t="n">
        <v>11434698.9</v>
      </c>
      <c r="C24" s="13" t="n">
        <v>364041</v>
      </c>
      <c r="D24" s="13" t="n">
        <v>10200557.98</v>
      </c>
      <c r="E24" s="13" t="n">
        <v>13014518.41</v>
      </c>
      <c r="F24" s="18" t="n">
        <v>0.0963</v>
      </c>
      <c r="G24" s="13" t="n">
        <v>10184065.56</v>
      </c>
      <c r="H24" s="13" t="n">
        <v>10397647.47</v>
      </c>
      <c r="I24" s="17" t="n">
        <v>456.11</v>
      </c>
    </row>
    <row r="25">
      <c r="A25" s="12" t="inlineStr">
        <is>
          <t>Feb-2026</t>
        </is>
      </c>
      <c r="B25" s="13" t="n">
        <v>10946389.39</v>
      </c>
      <c r="C25" s="13" t="n">
        <v>362132</v>
      </c>
      <c r="D25" s="13" t="n">
        <v>8489969.029999999</v>
      </c>
      <c r="E25" s="13" t="n">
        <v>9536402.970000001</v>
      </c>
      <c r="F25" s="18" t="n">
        <v>-0.0427</v>
      </c>
      <c r="G25" s="13" t="n">
        <v>10937089.85</v>
      </c>
      <c r="H25" s="13" t="n">
        <v>10428736.89</v>
      </c>
      <c r="I25" s="17" t="n">
        <v>450.47</v>
      </c>
    </row>
    <row r="26">
      <c r="A26" s="12" t="inlineStr">
        <is>
          <t>Mar-2026</t>
        </is>
      </c>
      <c r="B26" s="13" t="n">
        <v>7548320.71</v>
      </c>
      <c r="C26" s="13" t="n">
        <v>247199</v>
      </c>
      <c r="D26" s="13" t="n">
        <v>9915760.84</v>
      </c>
      <c r="E26" s="13" t="n">
        <v>9696227.58</v>
      </c>
      <c r="F26" s="18" t="n">
        <v>-0.3104</v>
      </c>
      <c r="G26" s="13" t="n">
        <v>9976469.67</v>
      </c>
      <c r="H26" s="13" t="n">
        <v>10318738.47</v>
      </c>
      <c r="I26" s="17" t="n">
        <v>422.12</v>
      </c>
    </row>
    <row r="27">
      <c r="A27" s="12" t="inlineStr">
        <is>
          <t>Apr-2026</t>
        </is>
      </c>
      <c r="B27" s="13" t="n">
        <v>8207660.98</v>
      </c>
      <c r="C27" s="13" t="n">
        <v>293907</v>
      </c>
      <c r="D27" s="13" t="n">
        <v>9285882.529999999</v>
      </c>
      <c r="E27" s="13" t="n">
        <v>9626564.380000001</v>
      </c>
      <c r="F27" s="18" t="n">
        <v>0.0873</v>
      </c>
      <c r="G27" s="13" t="n">
        <v>8900790.359999999</v>
      </c>
      <c r="H27" s="13" t="n">
        <v>10303682.33</v>
      </c>
      <c r="I27" s="17" t="n">
        <v>327.49</v>
      </c>
    </row>
    <row r="28">
      <c r="A28" s="12" t="inlineStr">
        <is>
          <t>May-2026</t>
        </is>
      </c>
      <c r="B28" s="13" t="n">
        <v>8102175.35</v>
      </c>
      <c r="C28" s="13" t="n">
        <v>266163</v>
      </c>
      <c r="D28" s="13" t="n">
        <v>13669214.17</v>
      </c>
      <c r="E28" s="13" t="n">
        <v>10419703.34</v>
      </c>
      <c r="F28" s="18" t="n">
        <v>-0.0129</v>
      </c>
      <c r="G28" s="13" t="n">
        <v>7952719.01</v>
      </c>
      <c r="H28" s="13" t="n">
        <v>10298242.15</v>
      </c>
      <c r="I28" s="17" t="n">
        <v>316.94</v>
      </c>
    </row>
    <row r="29">
      <c r="A29" s="12" t="inlineStr">
        <is>
          <t>Jun-2026</t>
        </is>
      </c>
      <c r="B29" s="13" t="n">
        <v>8977081.619999999</v>
      </c>
      <c r="C29" s="13" t="n">
        <v>291023</v>
      </c>
      <c r="D29" s="13" t="n">
        <v>12703541.46</v>
      </c>
      <c r="E29" s="13" t="n">
        <v>11700054.42</v>
      </c>
      <c r="F29" s="18" t="n">
        <v>0.108</v>
      </c>
      <c r="G29" s="13" t="n">
        <v>8428972.65</v>
      </c>
      <c r="H29" s="13" t="n">
        <v>10332126.91</v>
      </c>
      <c r="I29" s="17" t="n">
        <v>323.42</v>
      </c>
    </row>
    <row r="30">
      <c r="A30" s="12" t="inlineStr">
        <is>
          <t>Jul-2026</t>
        </is>
      </c>
      <c r="B30" s="13" t="n">
        <v>11481870.36</v>
      </c>
      <c r="C30" s="13" t="n">
        <v>373088</v>
      </c>
      <c r="D30" s="13" t="n">
        <v>13735210.75</v>
      </c>
      <c r="E30" s="13" t="n">
        <v>13023533.22</v>
      </c>
      <c r="F30" s="18" t="n">
        <v>0.279</v>
      </c>
      <c r="G30" s="13" t="n">
        <v>9520375.779999999</v>
      </c>
      <c r="H30" s="13" t="n">
        <v>10432757.6</v>
      </c>
      <c r="I30" s="17" t="n">
        <v>445.59</v>
      </c>
    </row>
    <row r="31">
      <c r="A31" s="12" t="inlineStr">
        <is>
          <t>Aug-2026</t>
        </is>
      </c>
      <c r="B31" s="13" t="n">
        <v>11176479.95</v>
      </c>
      <c r="C31" s="13" t="n">
        <v>378947</v>
      </c>
      <c r="D31" s="13" t="n">
        <v>3073388.22</v>
      </c>
      <c r="E31" s="13" t="n">
        <v>14591692.66</v>
      </c>
      <c r="F31" s="18" t="n">
        <v>-0.0266</v>
      </c>
      <c r="G31" s="13" t="n">
        <v>10545143.98</v>
      </c>
      <c r="H31" s="13" t="n">
        <v>10118634.09</v>
      </c>
      <c r="I31" s="17" t="n">
        <v>536.66</v>
      </c>
    </row>
    <row r="32">
      <c r="A32" s="12" t="inlineStr">
        <is>
          <t>Sep-2026</t>
        </is>
      </c>
      <c r="B32" s="13" t="n">
        <v>11363021.21</v>
      </c>
      <c r="C32" s="13" t="n">
        <v>323205</v>
      </c>
      <c r="D32" s="13" t="n">
        <v>0</v>
      </c>
      <c r="E32" s="13" t="n">
        <v>4319712.16</v>
      </c>
      <c r="F32" s="18" t="n">
        <v>0.0167</v>
      </c>
      <c r="G32" s="13" t="n">
        <v>11340457.17</v>
      </c>
      <c r="H32" s="13" t="n">
        <v>9891016.1</v>
      </c>
      <c r="I32" s="17" t="n">
        <v>507.82</v>
      </c>
    </row>
    <row r="33">
      <c r="A33" s="19" t="inlineStr">
        <is>
          <t>Total</t>
        </is>
      </c>
      <c r="B33" s="20" t="n">
        <v>259518399.91</v>
      </c>
      <c r="C33" s="20" t="n">
        <v>8964814</v>
      </c>
      <c r="D33" s="20" t="n">
        <v>287181312.35</v>
      </c>
      <c r="E33" s="20" t="n">
        <v>298978458.19</v>
      </c>
    </row>
    <row r="58">
      <c r="A58" s="10" t="inlineStr">
        <is>
          <t>Seasonality – average consumption value by calendar month</t>
        </is>
      </c>
    </row>
    <row r="59" ht="30" customHeight="1">
      <c r="A59" s="11" t="inlineStr">
        <is>
          <t>Calendar month</t>
        </is>
      </c>
      <c r="B59" s="11" t="inlineStr">
        <is>
          <t>Avg consumption value</t>
        </is>
      </c>
      <c r="C59" s="11" t="inlineStr">
        <is>
          <t>Avg quantity issued</t>
        </is>
      </c>
      <c r="D59" s="11" t="inlineStr">
        <is>
          <t>Index (Jan-2025 = 100)</t>
        </is>
      </c>
    </row>
    <row r="60">
      <c r="A60" s="12" t="inlineStr">
        <is>
          <t>January</t>
        </is>
      </c>
      <c r="B60" s="13" t="n">
        <v>11458294.39</v>
      </c>
      <c r="C60" s="13" t="n">
        <v>390365</v>
      </c>
      <c r="D60" s="21" t="n">
        <v>100</v>
      </c>
    </row>
    <row r="61">
      <c r="A61" s="12" t="inlineStr">
        <is>
          <t>February</t>
        </is>
      </c>
      <c r="B61" s="13" t="n">
        <v>10759852.92</v>
      </c>
      <c r="C61" s="13" t="n">
        <v>369228</v>
      </c>
      <c r="D61" s="21" t="n">
        <v>93.90000000000001</v>
      </c>
    </row>
    <row r="62">
      <c r="A62" s="12" t="inlineStr">
        <is>
          <t>March</t>
        </is>
      </c>
      <c r="B62" s="13" t="n">
        <v>8208311.18</v>
      </c>
      <c r="C62" s="13" t="n">
        <v>284308</v>
      </c>
      <c r="D62" s="21" t="n">
        <v>71.59999999999999</v>
      </c>
    </row>
    <row r="63">
      <c r="A63" s="12" t="inlineStr">
        <is>
          <t>April</t>
        </is>
      </c>
      <c r="B63" s="13" t="n">
        <v>8297997.87</v>
      </c>
      <c r="C63" s="13" t="n">
        <v>295238</v>
      </c>
      <c r="D63" s="21" t="n">
        <v>72.40000000000001</v>
      </c>
    </row>
    <row r="64">
      <c r="A64" s="12" t="inlineStr">
        <is>
          <t>May</t>
        </is>
      </c>
      <c r="B64" s="13" t="n">
        <v>8134816.43</v>
      </c>
      <c r="C64" s="13" t="n">
        <v>273362</v>
      </c>
      <c r="D64" s="21" t="n">
        <v>71</v>
      </c>
    </row>
    <row r="65">
      <c r="A65" s="12" t="inlineStr">
        <is>
          <t>June</t>
        </is>
      </c>
      <c r="B65" s="13" t="n">
        <v>8773773</v>
      </c>
      <c r="C65" s="13" t="n">
        <v>307888</v>
      </c>
      <c r="D65" s="21" t="n">
        <v>76.59999999999999</v>
      </c>
    </row>
    <row r="66">
      <c r="A66" s="12" t="inlineStr">
        <is>
          <t>July</t>
        </is>
      </c>
      <c r="B66" s="13" t="n">
        <v>9436241.1</v>
      </c>
      <c r="C66" s="13" t="n">
        <v>332531</v>
      </c>
      <c r="D66" s="21" t="n">
        <v>82.40000000000001</v>
      </c>
    </row>
    <row r="67">
      <c r="A67" s="12" t="inlineStr">
        <is>
          <t>August</t>
        </is>
      </c>
      <c r="B67" s="13" t="n">
        <v>11327150.43</v>
      </c>
      <c r="C67" s="13" t="n">
        <v>399322</v>
      </c>
      <c r="D67" s="21" t="n">
        <v>98.90000000000001</v>
      </c>
    </row>
    <row r="68">
      <c r="A68" s="12" t="inlineStr">
        <is>
          <t>September</t>
        </is>
      </c>
      <c r="B68" s="13" t="n">
        <v>11195865.61</v>
      </c>
      <c r="C68" s="13" t="n">
        <v>359475</v>
      </c>
      <c r="D68" s="21" t="n">
        <v>97.7</v>
      </c>
    </row>
    <row r="69">
      <c r="A69" s="12" t="inlineStr">
        <is>
          <t>October</t>
        </is>
      </c>
      <c r="B69" s="13" t="n">
        <v>9338380.380000001</v>
      </c>
      <c r="C69" s="13" t="n">
        <v>313808</v>
      </c>
      <c r="D69" s="21" t="n">
        <v>81.5</v>
      </c>
    </row>
    <row r="70">
      <c r="A70" s="12" t="inlineStr">
        <is>
          <t>November</t>
        </is>
      </c>
      <c r="B70" s="13" t="n">
        <v>7773914.49</v>
      </c>
      <c r="C70" s="13" t="n">
        <v>285560</v>
      </c>
      <c r="D70" s="21" t="n">
        <v>67.8</v>
      </c>
    </row>
    <row r="71">
      <c r="A71" s="12" t="inlineStr">
        <is>
          <t>December</t>
        </is>
      </c>
      <c r="B71" s="13" t="n">
        <v>9074973.560000001</v>
      </c>
      <c r="C71" s="13" t="n">
        <v>325660</v>
      </c>
      <c r="D71" s="21" t="n">
        <v>79.2</v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B57"/>
    <outlinePr summaryBelow="1" summaryRight="1"/>
    <pageSetUpPr/>
  </sheetPr>
  <dimension ref="A1:L30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6" customWidth="1" min="9" max="9"/>
    <col width="14" customWidth="1" min="10" max="10"/>
    <col width="16" customWidth="1" min="11" max="11"/>
    <col width="14" customWidth="1" min="12" max="12"/>
  </cols>
  <sheetData>
    <row r="1">
      <c r="A1" s="1" t="inlineStr">
        <is>
          <t>Project-wise Consumption versus Investment</t>
        </is>
      </c>
    </row>
    <row r="2">
      <c r="A2" s="2" t="inlineStr">
        <is>
          <t>Consumption excludes transfers. Ratio = consumption / investment. Variance = investment - consumption. Cumulative covers the full reporting window.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Donor</t>
        </is>
      </c>
      <c r="D5" s="11" t="inlineStr">
        <is>
          <t>Sector</t>
        </is>
      </c>
      <c r="E5" s="11" t="inlineStr">
        <is>
          <t>Consumption value</t>
        </is>
      </c>
      <c r="F5" s="11" t="inlineStr">
        <is>
          <t>Investment (PO)</t>
        </is>
      </c>
      <c r="G5" s="11" t="inlineStr">
        <is>
          <t>Ratio</t>
        </is>
      </c>
      <c r="H5" s="11" t="inlineStr">
        <is>
          <t>Variance</t>
        </is>
      </c>
      <c r="I5" s="11" t="inlineStr">
        <is>
          <t>Consumption FY2026-27</t>
        </is>
      </c>
      <c r="J5" s="11" t="inlineStr">
        <is>
          <t>Beneficiaries</t>
        </is>
      </c>
      <c r="K5" s="11" t="inlineStr">
        <is>
          <t>Cost per beneficiary</t>
        </is>
      </c>
      <c r="L5" s="11" t="inlineStr">
        <is>
          <t>Budget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UNICEF Pakistan</t>
        </is>
      </c>
      <c r="D6" s="22" t="inlineStr">
        <is>
          <t>MCH</t>
        </is>
      </c>
      <c r="E6" s="23" t="n">
        <v>59972050.35</v>
      </c>
      <c r="F6" s="23" t="n">
        <v>72131331.72</v>
      </c>
      <c r="G6" s="24" t="n">
        <v>0.83</v>
      </c>
      <c r="H6" s="23" t="n">
        <v>12159281.37</v>
      </c>
      <c r="I6" s="23" t="n">
        <v>8538768.92</v>
      </c>
      <c r="J6" s="23" t="n">
        <v>129679</v>
      </c>
      <c r="K6" s="25" t="n">
        <v>462.47</v>
      </c>
      <c r="L6" s="23" t="n">
        <v>64199000</v>
      </c>
    </row>
    <row r="7">
      <c r="A7" s="22" t="inlineStr">
        <is>
          <t>PRJ-002</t>
        </is>
      </c>
      <c r="B7" s="22" t="inlineStr">
        <is>
          <t>Nutrition Stabilisation Centre - Malir</t>
        </is>
      </c>
      <c r="C7" s="22" t="inlineStr">
        <is>
          <t>UNICEF Pakistan</t>
        </is>
      </c>
      <c r="D7" s="22" t="inlineStr">
        <is>
          <t>Nutrition</t>
        </is>
      </c>
      <c r="E7" s="23" t="n">
        <v>45028073.95</v>
      </c>
      <c r="F7" s="23" t="n">
        <v>54110023.43</v>
      </c>
      <c r="G7" s="24" t="n">
        <v>0.83</v>
      </c>
      <c r="H7" s="23" t="n">
        <v>9081949.48</v>
      </c>
      <c r="I7" s="23" t="n">
        <v>6048754.53</v>
      </c>
      <c r="J7" s="23" t="n">
        <v>90750</v>
      </c>
      <c r="K7" s="25" t="n">
        <v>496.18</v>
      </c>
      <c r="L7" s="23" t="n">
        <v>42179000</v>
      </c>
    </row>
    <row r="8">
      <c r="A8" s="22" t="inlineStr">
        <is>
          <t>PRJ-003</t>
        </is>
      </c>
      <c r="B8" s="22" t="inlineStr">
        <is>
          <t>TB DOTS Expansion - Karachi South</t>
        </is>
      </c>
      <c r="C8" s="22" t="inlineStr">
        <is>
          <t>The Global Fund</t>
        </is>
      </c>
      <c r="D8" s="22" t="inlineStr">
        <is>
          <t>TB</t>
        </is>
      </c>
      <c r="E8" s="23" t="n">
        <v>32822434.95</v>
      </c>
      <c r="F8" s="23" t="n">
        <v>38777497.76</v>
      </c>
      <c r="G8" s="24" t="n">
        <v>0.85</v>
      </c>
      <c r="H8" s="23" t="n">
        <v>5955062.81</v>
      </c>
      <c r="I8" s="23" t="n">
        <v>4861184.54</v>
      </c>
      <c r="J8" s="23" t="n">
        <v>108695</v>
      </c>
      <c r="K8" s="25" t="n">
        <v>301.97</v>
      </c>
      <c r="L8" s="23" t="n">
        <v>51413000</v>
      </c>
    </row>
    <row r="9">
      <c r="A9" s="22" t="inlineStr">
        <is>
          <t>PRJ-004</t>
        </is>
      </c>
      <c r="B9" s="22" t="inlineStr">
        <is>
          <t>Primary Healthcare Support - Tharparkar</t>
        </is>
      </c>
      <c r="C9" s="22" t="inlineStr">
        <is>
          <t>PPAF</t>
        </is>
      </c>
      <c r="D9" s="22" t="inlineStr">
        <is>
          <t>PHC</t>
        </is>
      </c>
      <c r="E9" s="23" t="n">
        <v>30784616.24</v>
      </c>
      <c r="F9" s="23" t="n">
        <v>35695819.31</v>
      </c>
      <c r="G9" s="24" t="n">
        <v>0.86</v>
      </c>
      <c r="H9" s="23" t="n">
        <v>4911203.07</v>
      </c>
      <c r="I9" s="23" t="n">
        <v>5363965.52</v>
      </c>
      <c r="J9" s="23" t="n">
        <v>77385</v>
      </c>
      <c r="K9" s="25" t="n">
        <v>397.81</v>
      </c>
      <c r="L9" s="23" t="n">
        <v>40795000</v>
      </c>
    </row>
    <row r="10">
      <c r="A10" s="22" t="inlineStr">
        <is>
          <t>PRJ-010</t>
        </is>
      </c>
      <c r="B10" s="22" t="inlineStr">
        <is>
          <t>Thalassaemia Support Programme - Gadap</t>
        </is>
      </c>
      <c r="C10" s="22" t="inlineStr">
        <is>
          <t>Vital Pakistan Trust (Self-funded)</t>
        </is>
      </c>
      <c r="D10" s="22" t="inlineStr">
        <is>
          <t>Chronic care</t>
        </is>
      </c>
      <c r="E10" s="23" t="n">
        <v>23634654.19</v>
      </c>
      <c r="F10" s="23" t="n">
        <v>28324610.27</v>
      </c>
      <c r="G10" s="24" t="n">
        <v>0.83</v>
      </c>
      <c r="H10" s="23" t="n">
        <v>4689956.08</v>
      </c>
      <c r="I10" s="23" t="n">
        <v>3129176.57</v>
      </c>
      <c r="J10" s="23" t="n">
        <v>73417</v>
      </c>
      <c r="K10" s="25" t="n">
        <v>321.92</v>
      </c>
      <c r="L10" s="23" t="n">
        <v>30232000</v>
      </c>
    </row>
    <row r="11">
      <c r="A11" s="22" t="inlineStr">
        <is>
          <t>PRJ-008</t>
        </is>
      </c>
      <c r="B11" s="22" t="inlineStr">
        <is>
          <t>Emergency Obstetric Care - Lyari</t>
        </is>
      </c>
      <c r="C11" s="22" t="inlineStr">
        <is>
          <t>Vital Pakistan Trust (Self-funded)</t>
        </is>
      </c>
      <c r="D11" s="22" t="inlineStr">
        <is>
          <t>MCH</t>
        </is>
      </c>
      <c r="E11" s="23" t="n">
        <v>16873849.36</v>
      </c>
      <c r="F11" s="23" t="n">
        <v>19700070.32</v>
      </c>
      <c r="G11" s="24" t="n">
        <v>0.86</v>
      </c>
      <c r="H11" s="23" t="n">
        <v>2826220.96</v>
      </c>
      <c r="I11" s="23" t="n">
        <v>2971891.69</v>
      </c>
      <c r="J11" s="23" t="n">
        <v>45526</v>
      </c>
      <c r="K11" s="25" t="n">
        <v>370.64</v>
      </c>
      <c r="L11" s="23" t="n">
        <v>22812000</v>
      </c>
    </row>
    <row r="12">
      <c r="A12" s="22" t="inlineStr">
        <is>
          <t>PRJ-006</t>
        </is>
      </c>
      <c r="B12" s="22" t="inlineStr">
        <is>
          <t>Rural Health Centre Strengthening - Jamshoro</t>
        </is>
      </c>
      <c r="C12" s="22" t="inlineStr">
        <is>
          <t>Sindh Health Department</t>
        </is>
      </c>
      <c r="D12" s="22" t="inlineStr">
        <is>
          <t>PHC</t>
        </is>
      </c>
      <c r="E12" s="23" t="n">
        <v>15108645.72</v>
      </c>
      <c r="F12" s="23" t="n">
        <v>17799223.93</v>
      </c>
      <c r="G12" s="24" t="n">
        <v>0.85</v>
      </c>
      <c r="H12" s="23" t="n">
        <v>2690578.21</v>
      </c>
      <c r="I12" s="23" t="n">
        <v>2598880.23</v>
      </c>
      <c r="J12" s="23" t="n">
        <v>50017</v>
      </c>
      <c r="K12" s="25" t="n">
        <v>302.07</v>
      </c>
      <c r="L12" s="23" t="n">
        <v>27251000</v>
      </c>
    </row>
    <row r="13">
      <c r="A13" s="22" t="inlineStr">
        <is>
          <t>PRJ-007</t>
        </is>
      </c>
      <c r="B13" s="22" t="inlineStr">
        <is>
          <t>Community Health Worker Programme - Bin Qasim</t>
        </is>
      </c>
      <c r="C13" s="22" t="inlineStr">
        <is>
          <t>Engro Foundation</t>
        </is>
      </c>
      <c r="D13" s="22" t="inlineStr">
        <is>
          <t>Community</t>
        </is>
      </c>
      <c r="E13" s="23" t="n">
        <v>13132316.23</v>
      </c>
      <c r="F13" s="23" t="n">
        <v>15269143.8</v>
      </c>
      <c r="G13" s="24" t="n">
        <v>0.86</v>
      </c>
      <c r="H13" s="23" t="n">
        <v>2136827.57</v>
      </c>
      <c r="I13" s="23" t="n">
        <v>0</v>
      </c>
      <c r="J13" s="23" t="n">
        <v>49169</v>
      </c>
      <c r="K13" s="25" t="n">
        <v>267.09</v>
      </c>
      <c r="L13" s="23" t="n">
        <v>19331000</v>
      </c>
    </row>
    <row r="14">
      <c r="A14" s="22" t="inlineStr">
        <is>
          <t>PRJ-005</t>
        </is>
      </c>
      <c r="B14" s="22" t="inlineStr">
        <is>
          <t>Flood Response &amp; Health Recovery - Dadu</t>
        </is>
      </c>
      <c r="C14" s="22" t="inlineStr">
        <is>
          <t>World Health Organization</t>
        </is>
      </c>
      <c r="D14" s="22" t="inlineStr">
        <is>
          <t>Emergency</t>
        </is>
      </c>
      <c r="E14" s="23" t="n">
        <v>12653420.13</v>
      </c>
      <c r="F14" s="23" t="n">
        <v>14336136.51</v>
      </c>
      <c r="G14" s="24" t="n">
        <v>0.88</v>
      </c>
      <c r="H14" s="23" t="n">
        <v>1682716.38</v>
      </c>
      <c r="I14" s="23" t="n">
        <v>0</v>
      </c>
      <c r="J14" s="23" t="n">
        <v>45445</v>
      </c>
      <c r="K14" s="25" t="n">
        <v>278.43</v>
      </c>
      <c r="L14" s="23" t="n">
        <v>32784000</v>
      </c>
    </row>
    <row r="15">
      <c r="A15" s="22" t="inlineStr">
        <is>
          <t>GEN-0000</t>
        </is>
      </c>
      <c r="B15" s="22" t="inlineStr">
        <is>
          <t>Unattributed (generic cost centre)</t>
        </is>
      </c>
      <c r="C15" s="22" t="inlineStr">
        <is>
          <t>—</t>
        </is>
      </c>
      <c r="D15" s="22" t="inlineStr">
        <is>
          <t>—</t>
        </is>
      </c>
      <c r="E15" s="23" t="n">
        <v>5115579.99</v>
      </c>
      <c r="F15" s="23" t="n">
        <v>0</v>
      </c>
      <c r="G15" s="24" t="n"/>
      <c r="H15" s="23" t="n">
        <v>-5115579.99</v>
      </c>
      <c r="I15" s="23" t="n">
        <v>508749.52</v>
      </c>
      <c r="J15" s="23" t="n">
        <v>0</v>
      </c>
      <c r="K15" s="25" t="n"/>
      <c r="L15" s="23" t="n">
        <v>0</v>
      </c>
    </row>
    <row r="16">
      <c r="A16" s="22" t="inlineStr">
        <is>
          <t>PRJ-009</t>
        </is>
      </c>
      <c r="B16" s="22" t="inlineStr">
        <is>
          <t>Hepatitis B &amp; C Screening - Keamari</t>
        </is>
      </c>
      <c r="C16" s="22" t="inlineStr">
        <is>
          <t>Sindh Health Department</t>
        </is>
      </c>
      <c r="D16" s="22" t="inlineStr">
        <is>
          <t>PHC</t>
        </is>
      </c>
      <c r="E16" s="23" t="n">
        <v>4392758.8</v>
      </c>
      <c r="F16" s="23" t="n">
        <v>5128083.68</v>
      </c>
      <c r="G16" s="24" t="n">
        <v>0.86</v>
      </c>
      <c r="H16" s="23" t="n">
        <v>735324.88</v>
      </c>
      <c r="I16" s="23" t="n">
        <v>0</v>
      </c>
      <c r="J16" s="23" t="n">
        <v>19147</v>
      </c>
      <c r="K16" s="25" t="n">
        <v>229.42</v>
      </c>
      <c r="L16" s="23" t="n">
        <v>6145000</v>
      </c>
    </row>
    <row r="17">
      <c r="A17" s="26" t="inlineStr"/>
      <c r="B17" s="26" t="inlineStr">
        <is>
          <t>TOTAL</t>
        </is>
      </c>
      <c r="C17" s="26" t="inlineStr"/>
      <c r="D17" s="26" t="inlineStr"/>
      <c r="E17" s="27" t="n">
        <v>259518399.91</v>
      </c>
      <c r="F17" s="27" t="n">
        <v>301271940.73</v>
      </c>
      <c r="G17" s="28" t="n">
        <v>0.86</v>
      </c>
      <c r="H17" s="27" t="n">
        <v>41753540.82</v>
      </c>
      <c r="I17" s="27" t="n">
        <v>34021371.52</v>
      </c>
      <c r="J17" s="27" t="n">
        <v>689230</v>
      </c>
      <c r="K17" s="29" t="n">
        <v>376.53</v>
      </c>
      <c r="L17" s="27" t="n">
        <v>337141000</v>
      </c>
    </row>
    <row r="19">
      <c r="A19" s="10" t="inlineStr">
        <is>
          <t>Project progress against life cycle</t>
        </is>
      </c>
    </row>
    <row r="20" ht="30" customHeight="1">
      <c r="A20" s="11" t="inlineStr">
        <is>
          <t>Project ID</t>
        </is>
      </c>
      <c r="B20" s="11" t="inlineStr">
        <is>
          <t>Project</t>
        </is>
      </c>
      <c r="C20" s="11" t="inlineStr">
        <is>
          <t>Start</t>
        </is>
      </c>
      <c r="D20" s="11" t="inlineStr">
        <is>
          <t>End</t>
        </is>
      </c>
      <c r="E20" s="11" t="inlineStr">
        <is>
          <t>Elapsed %</t>
        </is>
      </c>
      <c r="F20" s="11" t="inlineStr">
        <is>
          <t>Status</t>
        </is>
      </c>
      <c r="G20" s="11" t="inlineStr">
        <is>
          <t>Consumption to date</t>
        </is>
      </c>
      <c r="H20" s="11" t="inlineStr">
        <is>
          <t>Budget</t>
        </is>
      </c>
      <c r="I20" s="11" t="inlineStr">
        <is>
          <t>Budget utilised</t>
        </is>
      </c>
      <c r="J20" s="11" t="inlineStr">
        <is>
          <t>Days remaining</t>
        </is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30" t="n">
        <v>45474</v>
      </c>
      <c r="D21" s="30" t="n">
        <v>46387</v>
      </c>
      <c r="E21" s="31" t="n">
        <v>0.8992</v>
      </c>
      <c r="F21" s="22" t="inlineStr">
        <is>
          <t>Active</t>
        </is>
      </c>
      <c r="G21" s="23" t="n">
        <v>59972050.35</v>
      </c>
      <c r="H21" s="23" t="n">
        <v>64199000</v>
      </c>
      <c r="I21" s="31" t="n">
        <v>0.9342</v>
      </c>
      <c r="J21" s="23" t="n">
        <v>92</v>
      </c>
    </row>
    <row r="22">
      <c r="A22" s="22" t="inlineStr">
        <is>
          <t>PRJ-002</t>
        </is>
      </c>
      <c r="B22" s="22" t="inlineStr">
        <is>
          <t>Nutrition Stabilisation Centre - Malir</t>
        </is>
      </c>
      <c r="C22" s="30" t="n">
        <v>45474</v>
      </c>
      <c r="D22" s="30" t="n">
        <v>46387</v>
      </c>
      <c r="E22" s="31" t="n">
        <v>0.8992</v>
      </c>
      <c r="F22" s="22" t="inlineStr">
        <is>
          <t>Active</t>
        </is>
      </c>
      <c r="G22" s="23" t="n">
        <v>45028073.95</v>
      </c>
      <c r="H22" s="23" t="n">
        <v>42179000</v>
      </c>
      <c r="I22" s="31" t="n">
        <v>1.0675</v>
      </c>
      <c r="J22" s="23" t="n">
        <v>92</v>
      </c>
    </row>
    <row r="23">
      <c r="A23" s="22" t="inlineStr">
        <is>
          <t>PRJ-003</t>
        </is>
      </c>
      <c r="B23" s="22" t="inlineStr">
        <is>
          <t>TB DOTS Expansion - Karachi South</t>
        </is>
      </c>
      <c r="C23" s="30" t="n">
        <v>45474</v>
      </c>
      <c r="D23" s="30" t="n">
        <v>46295</v>
      </c>
      <c r="E23" s="31" t="n">
        <v>1</v>
      </c>
      <c r="F23" s="22" t="inlineStr">
        <is>
          <t>Active</t>
        </is>
      </c>
      <c r="G23" s="23" t="n">
        <v>32822434.95</v>
      </c>
      <c r="H23" s="23" t="n">
        <v>51413000</v>
      </c>
      <c r="I23" s="31" t="n">
        <v>0.6384</v>
      </c>
      <c r="J23" s="23" t="n">
        <v>0</v>
      </c>
    </row>
    <row r="24">
      <c r="A24" s="22" t="inlineStr">
        <is>
          <t>PRJ-004</t>
        </is>
      </c>
      <c r="B24" s="22" t="inlineStr">
        <is>
          <t>Primary Healthcare Support - Tharparkar</t>
        </is>
      </c>
      <c r="C24" s="30" t="n">
        <v>45566</v>
      </c>
      <c r="D24" s="30" t="n">
        <v>46387</v>
      </c>
      <c r="E24" s="31" t="n">
        <v>0.8879</v>
      </c>
      <c r="F24" s="22" t="inlineStr">
        <is>
          <t>Active</t>
        </is>
      </c>
      <c r="G24" s="23" t="n">
        <v>30784616.24</v>
      </c>
      <c r="H24" s="23" t="n">
        <v>40795000</v>
      </c>
      <c r="I24" s="31" t="n">
        <v>0.7546</v>
      </c>
      <c r="J24" s="23" t="n">
        <v>92</v>
      </c>
    </row>
    <row r="25">
      <c r="A25" s="22" t="inlineStr">
        <is>
          <t>PRJ-005</t>
        </is>
      </c>
      <c r="B25" s="22" t="inlineStr">
        <is>
          <t>Flood Response &amp; Health Recovery - Dadu</t>
        </is>
      </c>
      <c r="C25" s="30" t="n">
        <v>45474</v>
      </c>
      <c r="D25" s="30" t="n">
        <v>46022</v>
      </c>
      <c r="E25" s="31" t="n">
        <v>1</v>
      </c>
      <c r="F25" s="22" t="inlineStr">
        <is>
          <t>Closed</t>
        </is>
      </c>
      <c r="G25" s="23" t="n">
        <v>12653420.13</v>
      </c>
      <c r="H25" s="23" t="n">
        <v>32784000</v>
      </c>
      <c r="I25" s="31" t="n">
        <v>0.386</v>
      </c>
      <c r="J25" s="23" t="n">
        <v>0</v>
      </c>
    </row>
    <row r="26">
      <c r="A26" s="22" t="inlineStr">
        <is>
          <t>PRJ-006</t>
        </is>
      </c>
      <c r="B26" s="22" t="inlineStr">
        <is>
          <t>Rural Health Centre Strengthening - Jamshoro</t>
        </is>
      </c>
      <c r="C26" s="30" t="n">
        <v>45658</v>
      </c>
      <c r="D26" s="30" t="n">
        <v>46387</v>
      </c>
      <c r="E26" s="31" t="n">
        <v>0.8738</v>
      </c>
      <c r="F26" s="22" t="inlineStr">
        <is>
          <t>Active</t>
        </is>
      </c>
      <c r="G26" s="23" t="n">
        <v>15108645.72</v>
      </c>
      <c r="H26" s="23" t="n">
        <v>27251000</v>
      </c>
      <c r="I26" s="31" t="n">
        <v>0.5544</v>
      </c>
      <c r="J26" s="23" t="n">
        <v>92</v>
      </c>
    </row>
    <row r="27">
      <c r="A27" s="22" t="inlineStr">
        <is>
          <t>PRJ-007</t>
        </is>
      </c>
      <c r="B27" s="22" t="inlineStr">
        <is>
          <t>Community Health Worker Programme - Bin Qasim</t>
        </is>
      </c>
      <c r="C27" s="30" t="n">
        <v>45474</v>
      </c>
      <c r="D27" s="30" t="n">
        <v>46203</v>
      </c>
      <c r="E27" s="31" t="n">
        <v>1</v>
      </c>
      <c r="F27" s="22" t="inlineStr">
        <is>
          <t>Closed</t>
        </is>
      </c>
      <c r="G27" s="23" t="n">
        <v>13132316.23</v>
      </c>
      <c r="H27" s="23" t="n">
        <v>19331000</v>
      </c>
      <c r="I27" s="31" t="n">
        <v>0.6793</v>
      </c>
      <c r="J27" s="23" t="n">
        <v>0</v>
      </c>
    </row>
    <row r="28">
      <c r="A28" s="22" t="inlineStr">
        <is>
          <t>PRJ-008</t>
        </is>
      </c>
      <c r="B28" s="22" t="inlineStr">
        <is>
          <t>Emergency Obstetric Care - Lyari</t>
        </is>
      </c>
      <c r="C28" s="30" t="n">
        <v>45658</v>
      </c>
      <c r="D28" s="30" t="n">
        <v>46387</v>
      </c>
      <c r="E28" s="31" t="n">
        <v>0.8738</v>
      </c>
      <c r="F28" s="22" t="inlineStr">
        <is>
          <t>Active</t>
        </is>
      </c>
      <c r="G28" s="23" t="n">
        <v>16873849.36</v>
      </c>
      <c r="H28" s="23" t="n">
        <v>22812000</v>
      </c>
      <c r="I28" s="31" t="n">
        <v>0.7397</v>
      </c>
      <c r="J28" s="23" t="n">
        <v>92</v>
      </c>
    </row>
    <row r="29">
      <c r="A29" s="22" t="inlineStr">
        <is>
          <t>PRJ-009</t>
        </is>
      </c>
      <c r="B29" s="22" t="inlineStr">
        <is>
          <t>Hepatitis B &amp; C Screening - Keamari</t>
        </is>
      </c>
      <c r="C29" s="30" t="n">
        <v>45474</v>
      </c>
      <c r="D29" s="30" t="n">
        <v>45838</v>
      </c>
      <c r="E29" s="31" t="n">
        <v>1</v>
      </c>
      <c r="F29" s="22" t="inlineStr">
        <is>
          <t>Closed</t>
        </is>
      </c>
      <c r="G29" s="23" t="n">
        <v>4392758.8</v>
      </c>
      <c r="H29" s="23" t="n">
        <v>6145000</v>
      </c>
      <c r="I29" s="31" t="n">
        <v>0.7149</v>
      </c>
      <c r="J29" s="23" t="n">
        <v>0</v>
      </c>
    </row>
    <row r="30">
      <c r="A30" s="22" t="inlineStr">
        <is>
          <t>PRJ-010</t>
        </is>
      </c>
      <c r="B30" s="22" t="inlineStr">
        <is>
          <t>Thalassaemia Support Programme - Gadap</t>
        </is>
      </c>
      <c r="C30" s="30" t="n">
        <v>45474</v>
      </c>
      <c r="D30" s="30" t="n">
        <v>46387</v>
      </c>
      <c r="E30" s="31" t="n">
        <v>0.8992</v>
      </c>
      <c r="F30" s="22" t="inlineStr">
        <is>
          <t>Active</t>
        </is>
      </c>
      <c r="G30" s="23" t="n">
        <v>23634654.19</v>
      </c>
      <c r="H30" s="23" t="n">
        <v>30232000</v>
      </c>
      <c r="I30" s="31" t="n">
        <v>0.7818000000000001</v>
      </c>
      <c r="J30" s="23" t="n">
        <v>92</v>
      </c>
    </row>
  </sheetData>
  <mergeCells count="1">
    <mergeCell ref="A2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C78A8"/>
    <outlinePr summaryBelow="1" summaryRight="1"/>
    <pageSetUpPr/>
  </sheetPr>
  <dimension ref="A1:I17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Project × Category Consumption Matrix</t>
        </is>
      </c>
    </row>
    <row r="2">
      <c r="A2" s="2" t="inlineStr">
        <is>
          <t>Values in PKR. Totals reconcile to Project_Analysis.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Medicines</t>
        </is>
      </c>
      <c r="D5" s="11" t="inlineStr">
        <is>
          <t>Medical Consumables</t>
        </is>
      </c>
      <c r="E5" s="11" t="inlineStr">
        <is>
          <t>Laboratory</t>
        </is>
      </c>
      <c r="F5" s="11" t="inlineStr">
        <is>
          <t>Nutrition</t>
        </is>
      </c>
      <c r="G5" s="11" t="inlineStr">
        <is>
          <t>Equipment</t>
        </is>
      </c>
      <c r="H5" s="11" t="inlineStr">
        <is>
          <t>General Items</t>
        </is>
      </c>
      <c r="I5" s="11" t="inlineStr">
        <is>
          <t>Total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3" t="n">
        <v>20259678.46</v>
      </c>
      <c r="D6" s="23" t="n">
        <v>20815614.95</v>
      </c>
      <c r="E6" s="23" t="n">
        <v>3797960.13</v>
      </c>
      <c r="F6" s="23" t="n">
        <v>13115300.7</v>
      </c>
      <c r="G6" s="23" t="n">
        <v>1446.24</v>
      </c>
      <c r="H6" s="23" t="n">
        <v>1982049.87</v>
      </c>
      <c r="I6" s="23" t="n">
        <v>59972050.35</v>
      </c>
    </row>
    <row r="7">
      <c r="A7" s="22" t="inlineStr">
        <is>
          <t>PRJ-002</t>
        </is>
      </c>
      <c r="B7" s="22" t="inlineStr">
        <is>
          <t>Nutrition Stabilisation Centre - Malir</t>
        </is>
      </c>
      <c r="C7" s="23" t="n">
        <v>7519931.68</v>
      </c>
      <c r="D7" s="23" t="n">
        <v>7697251.48</v>
      </c>
      <c r="E7" s="23" t="n">
        <v>1793035.82</v>
      </c>
      <c r="F7" s="23" t="n">
        <v>26794029.44</v>
      </c>
      <c r="G7" s="23" t="n">
        <v>8228.610000000001</v>
      </c>
      <c r="H7" s="23" t="n">
        <v>1215596.92</v>
      </c>
      <c r="I7" s="23" t="n">
        <v>45028073.95</v>
      </c>
    </row>
    <row r="8">
      <c r="A8" s="22" t="inlineStr">
        <is>
          <t>PRJ-003</t>
        </is>
      </c>
      <c r="B8" s="22" t="inlineStr">
        <is>
          <t>TB DOTS Expansion - Karachi South</t>
        </is>
      </c>
      <c r="C8" s="23" t="n">
        <v>14051266.61</v>
      </c>
      <c r="D8" s="23" t="n">
        <v>7504471.42</v>
      </c>
      <c r="E8" s="23" t="n">
        <v>7180628.33</v>
      </c>
      <c r="F8" s="23" t="n">
        <v>2531406.94</v>
      </c>
      <c r="G8" s="23" t="n">
        <v>0</v>
      </c>
      <c r="H8" s="23" t="n">
        <v>1554661.65</v>
      </c>
      <c r="I8" s="23" t="n">
        <v>32822434.95</v>
      </c>
    </row>
    <row r="9">
      <c r="A9" s="22" t="inlineStr">
        <is>
          <t>PRJ-004</t>
        </is>
      </c>
      <c r="B9" s="22" t="inlineStr">
        <is>
          <t>Primary Healthcare Support - Tharparkar</t>
        </is>
      </c>
      <c r="C9" s="23" t="n">
        <v>9637455.16</v>
      </c>
      <c r="D9" s="23" t="n">
        <v>8479862.07</v>
      </c>
      <c r="E9" s="23" t="n">
        <v>1160011.75</v>
      </c>
      <c r="F9" s="23" t="n">
        <v>10279855.56</v>
      </c>
      <c r="G9" s="23" t="n">
        <v>1446.24</v>
      </c>
      <c r="H9" s="23" t="n">
        <v>1225985.46</v>
      </c>
      <c r="I9" s="23" t="n">
        <v>30784616.24</v>
      </c>
    </row>
    <row r="10">
      <c r="A10" s="22" t="inlineStr">
        <is>
          <t>PRJ-010</t>
        </is>
      </c>
      <c r="B10" s="22" t="inlineStr">
        <is>
          <t>Thalassaemia Support Programme - Gadap</t>
        </is>
      </c>
      <c r="C10" s="23" t="n">
        <v>11614223.16</v>
      </c>
      <c r="D10" s="23" t="n">
        <v>6044096.49</v>
      </c>
      <c r="E10" s="23" t="n">
        <v>3156224.61</v>
      </c>
      <c r="F10" s="23" t="n">
        <v>1838569.36</v>
      </c>
      <c r="G10" s="23" t="n">
        <v>12766.82</v>
      </c>
      <c r="H10" s="23" t="n">
        <v>968773.75</v>
      </c>
      <c r="I10" s="23" t="n">
        <v>23634654.19</v>
      </c>
    </row>
    <row r="11">
      <c r="A11" s="22" t="inlineStr">
        <is>
          <t>PRJ-008</t>
        </is>
      </c>
      <c r="B11" s="22" t="inlineStr">
        <is>
          <t>Emergency Obstetric Care - Lyari</t>
        </is>
      </c>
      <c r="C11" s="23" t="n">
        <v>6761666.73</v>
      </c>
      <c r="D11" s="23" t="n">
        <v>7094183.5</v>
      </c>
      <c r="E11" s="23" t="n">
        <v>771833.8199999999</v>
      </c>
      <c r="F11" s="23" t="n">
        <v>1661100.7</v>
      </c>
      <c r="G11" s="23" t="n">
        <v>18452.05</v>
      </c>
      <c r="H11" s="23" t="n">
        <v>566612.5600000001</v>
      </c>
      <c r="I11" s="23" t="n">
        <v>16873849.36</v>
      </c>
    </row>
    <row r="12">
      <c r="A12" s="22" t="inlineStr">
        <is>
          <t>PRJ-006</t>
        </is>
      </c>
      <c r="B12" s="22" t="inlineStr">
        <is>
          <t>Rural Health Centre Strengthening - Jamshoro</t>
        </is>
      </c>
      <c r="C12" s="23" t="n">
        <v>5269733.39</v>
      </c>
      <c r="D12" s="23" t="n">
        <v>5131195.91</v>
      </c>
      <c r="E12" s="23" t="n">
        <v>695074.11</v>
      </c>
      <c r="F12" s="23" t="n">
        <v>3132522.78</v>
      </c>
      <c r="G12" s="23" t="n">
        <v>14462.42</v>
      </c>
      <c r="H12" s="23" t="n">
        <v>865657.11</v>
      </c>
      <c r="I12" s="23" t="n">
        <v>15108645.72</v>
      </c>
    </row>
    <row r="13">
      <c r="A13" s="22" t="inlineStr">
        <is>
          <t>PRJ-007</t>
        </is>
      </c>
      <c r="B13" s="22" t="inlineStr">
        <is>
          <t>Community Health Worker Programme - Bin Qasim</t>
        </is>
      </c>
      <c r="C13" s="23" t="n">
        <v>3742902.44</v>
      </c>
      <c r="D13" s="23" t="n">
        <v>3276385.88</v>
      </c>
      <c r="E13" s="23" t="n">
        <v>353897.91</v>
      </c>
      <c r="F13" s="23" t="n">
        <v>4434504.86</v>
      </c>
      <c r="G13" s="23" t="n">
        <v>0</v>
      </c>
      <c r="H13" s="23" t="n">
        <v>1324625.14</v>
      </c>
      <c r="I13" s="23" t="n">
        <v>13132316.23</v>
      </c>
    </row>
    <row r="14">
      <c r="A14" s="22" t="inlineStr">
        <is>
          <t>PRJ-005</t>
        </is>
      </c>
      <c r="B14" s="22" t="inlineStr">
        <is>
          <t>Flood Response &amp; Health Recovery - Dadu</t>
        </is>
      </c>
      <c r="C14" s="23" t="n">
        <v>5253971.57</v>
      </c>
      <c r="D14" s="23" t="n">
        <v>2944995.19</v>
      </c>
      <c r="E14" s="23" t="n">
        <v>350244.24</v>
      </c>
      <c r="F14" s="23" t="n">
        <v>3160595.84</v>
      </c>
      <c r="G14" s="23" t="n">
        <v>0</v>
      </c>
      <c r="H14" s="23" t="n">
        <v>943613.29</v>
      </c>
      <c r="I14" s="23" t="n">
        <v>12653420.13</v>
      </c>
    </row>
    <row r="15">
      <c r="A15" s="22" t="inlineStr">
        <is>
          <t>GEN-0000</t>
        </is>
      </c>
      <c r="B15" s="22" t="inlineStr">
        <is>
          <t>Unattributed</t>
        </is>
      </c>
      <c r="C15" s="23" t="n">
        <v>2209542.02</v>
      </c>
      <c r="D15" s="23" t="n">
        <v>1068466.3</v>
      </c>
      <c r="E15" s="23" t="n">
        <v>375467.87</v>
      </c>
      <c r="F15" s="23" t="n">
        <v>1180368.28</v>
      </c>
      <c r="G15" s="23" t="n">
        <v>0</v>
      </c>
      <c r="H15" s="23" t="n">
        <v>281735.52</v>
      </c>
      <c r="I15" s="23" t="n">
        <v>5115579.99</v>
      </c>
    </row>
    <row r="16">
      <c r="A16" s="22" t="inlineStr">
        <is>
          <t>PRJ-009</t>
        </is>
      </c>
      <c r="B16" s="22" t="inlineStr">
        <is>
          <t>Hepatitis B &amp; C Screening - Keamari</t>
        </is>
      </c>
      <c r="C16" s="23" t="n">
        <v>1270815.26</v>
      </c>
      <c r="D16" s="23" t="n">
        <v>925251.5600000001</v>
      </c>
      <c r="E16" s="23" t="n">
        <v>1290967.16</v>
      </c>
      <c r="F16" s="23" t="n">
        <v>642362.5600000001</v>
      </c>
      <c r="G16" s="23" t="n">
        <v>33911.87</v>
      </c>
      <c r="H16" s="23" t="n">
        <v>229450.39</v>
      </c>
      <c r="I16" s="23" t="n">
        <v>4392758.8</v>
      </c>
    </row>
    <row r="17">
      <c r="A17" s="26" t="inlineStr"/>
      <c r="B17" s="26" t="inlineStr">
        <is>
          <t>TOTAL</t>
        </is>
      </c>
      <c r="C17" s="27" t="n">
        <v>87591186.48</v>
      </c>
      <c r="D17" s="27" t="n">
        <v>70981774.75</v>
      </c>
      <c r="E17" s="27" t="n">
        <v>20925345.75</v>
      </c>
      <c r="F17" s="27" t="n">
        <v>68770617.02</v>
      </c>
      <c r="G17" s="27" t="n">
        <v>90714.25</v>
      </c>
      <c r="H17" s="27" t="n">
        <v>11158761.66</v>
      </c>
      <c r="I17" s="27" t="n">
        <v>259518399.91</v>
      </c>
    </row>
  </sheetData>
  <mergeCells count="1"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A7F8F"/>
    <outlinePr summaryBelow="1" summaryRight="1"/>
    <pageSetUpPr/>
  </sheetPr>
  <dimension ref="A1:L8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>
      <c r="A1" s="1" t="inlineStr">
        <is>
          <t>Product-wise Consumption and Investment</t>
        </is>
      </c>
    </row>
    <row r="2">
      <c r="A2" s="2" t="inlineStr">
        <is>
          <t>Ranked by consumption value. Share and cumulative share support Pareto analysis. Ratio compares consumption with purchase for the same item.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UOM</t>
        </is>
      </c>
      <c r="E5" s="11" t="inlineStr">
        <is>
          <t>Qty consumed</t>
        </is>
      </c>
      <c r="F5" s="11" t="inlineStr">
        <is>
          <t>Consumption value</t>
        </is>
      </c>
      <c r="G5" s="11" t="inlineStr">
        <is>
          <t>Investment (PO)</t>
        </is>
      </c>
      <c r="H5" s="11" t="inlineStr">
        <is>
          <t>Ratio</t>
        </is>
      </c>
      <c r="I5" s="11" t="inlineStr">
        <is>
          <t>Share</t>
        </is>
      </c>
      <c r="J5" s="11" t="inlineStr">
        <is>
          <t>Cum share</t>
        </is>
      </c>
      <c r="K5" s="11" t="inlineStr">
        <is>
          <t>Avg unit price</t>
        </is>
      </c>
      <c r="L5" s="11" t="inlineStr">
        <is>
          <t>Projects</t>
        </is>
      </c>
    </row>
    <row r="6">
      <c r="A6" s="22" t="inlineStr">
        <is>
          <t>NUT-0001</t>
        </is>
      </c>
      <c r="B6" s="22" t="inlineStr">
        <is>
          <t>RUTF Plumpy'Nut 92 g Sachet</t>
        </is>
      </c>
      <c r="C6" s="22" t="inlineStr">
        <is>
          <t>Nutrition</t>
        </is>
      </c>
      <c r="D6" s="22" t="inlineStr">
        <is>
          <t>Sachet</t>
        </is>
      </c>
      <c r="E6" s="23" t="n">
        <v>92550</v>
      </c>
      <c r="F6" s="23" t="n">
        <v>22234246.5</v>
      </c>
      <c r="G6" s="23" t="n">
        <v>24673591.5</v>
      </c>
      <c r="H6" s="24" t="n">
        <v>0.9</v>
      </c>
      <c r="I6" s="31" t="n">
        <v>0.0857</v>
      </c>
      <c r="J6" s="31" t="n">
        <v>0.0857</v>
      </c>
      <c r="K6" s="25" t="n">
        <v>240.24</v>
      </c>
      <c r="L6" s="23" t="n">
        <v>11</v>
      </c>
    </row>
    <row r="7">
      <c r="A7" s="22" t="inlineStr">
        <is>
          <t>MED-0031</t>
        </is>
      </c>
      <c r="B7" s="22" t="inlineStr">
        <is>
          <t>Deferasirox 500 mg Tablet</t>
        </is>
      </c>
      <c r="C7" s="22" t="inlineStr">
        <is>
          <t>Medicines</t>
        </is>
      </c>
      <c r="D7" s="22" t="inlineStr">
        <is>
          <t>Tablet</t>
        </is>
      </c>
      <c r="E7" s="23" t="n">
        <v>11880</v>
      </c>
      <c r="F7" s="23" t="n">
        <v>18671343.6</v>
      </c>
      <c r="G7" s="23" t="n">
        <v>22279878.9</v>
      </c>
      <c r="H7" s="24" t="n">
        <v>0.84</v>
      </c>
      <c r="I7" s="31" t="n">
        <v>0.07190000000000001</v>
      </c>
      <c r="J7" s="31" t="n">
        <v>0.1576</v>
      </c>
      <c r="K7" s="25" t="n">
        <v>1571.66</v>
      </c>
      <c r="L7" s="23" t="n">
        <v>11</v>
      </c>
    </row>
    <row r="8">
      <c r="A8" s="22" t="inlineStr">
        <is>
          <t>MED-0007</t>
        </is>
      </c>
      <c r="B8" s="22" t="inlineStr">
        <is>
          <t>ORS Sachet (Low Osmolarity)</t>
        </is>
      </c>
      <c r="C8" s="22" t="inlineStr">
        <is>
          <t>Medicines</t>
        </is>
      </c>
      <c r="D8" s="22" t="inlineStr">
        <is>
          <t>Sachet</t>
        </is>
      </c>
      <c r="E8" s="23" t="n">
        <v>493900</v>
      </c>
      <c r="F8" s="23" t="n">
        <v>12111237</v>
      </c>
      <c r="G8" s="23" t="n">
        <v>14810591</v>
      </c>
      <c r="H8" s="24" t="n">
        <v>0.82</v>
      </c>
      <c r="I8" s="31" t="n">
        <v>0.0467</v>
      </c>
      <c r="J8" s="31" t="n">
        <v>0.2043</v>
      </c>
      <c r="K8" s="25" t="n">
        <v>24.52</v>
      </c>
      <c r="L8" s="23" t="n">
        <v>11</v>
      </c>
    </row>
    <row r="9">
      <c r="A9" s="22" t="inlineStr">
        <is>
          <t>NUT-0003</t>
        </is>
      </c>
      <c r="B9" s="22" t="inlineStr">
        <is>
          <t>F-100 Therapeutic Milk 400 g</t>
        </is>
      </c>
      <c r="C9" s="22" t="inlineStr">
        <is>
          <t>Nutrition</t>
        </is>
      </c>
      <c r="D9" s="22" t="inlineStr">
        <is>
          <t>Tin</t>
        </is>
      </c>
      <c r="E9" s="23" t="n">
        <v>13584</v>
      </c>
      <c r="F9" s="23" t="n">
        <v>11318599.92</v>
      </c>
      <c r="G9" s="23" t="n">
        <v>12547327.44</v>
      </c>
      <c r="H9" s="24" t="n">
        <v>0.9</v>
      </c>
      <c r="I9" s="31" t="n">
        <v>0.0436</v>
      </c>
      <c r="J9" s="31" t="n">
        <v>0.2479</v>
      </c>
      <c r="K9" s="25" t="n">
        <v>833.23</v>
      </c>
      <c r="L9" s="23" t="n">
        <v>11</v>
      </c>
    </row>
    <row r="10">
      <c r="A10" s="22" t="inlineStr">
        <is>
          <t>CON-0003</t>
        </is>
      </c>
      <c r="B10" s="22" t="inlineStr">
        <is>
          <t>Disposable Syringe 5 ml with Needle</t>
        </is>
      </c>
      <c r="C10" s="22" t="inlineStr">
        <is>
          <t>Medical Consumables</t>
        </is>
      </c>
      <c r="D10" s="22" t="inlineStr">
        <is>
          <t>Piece</t>
        </is>
      </c>
      <c r="E10" s="23" t="n">
        <v>446600</v>
      </c>
      <c r="F10" s="23" t="n">
        <v>10426061</v>
      </c>
      <c r="G10" s="23" t="n">
        <v>12141882</v>
      </c>
      <c r="H10" s="24" t="n">
        <v>0.86</v>
      </c>
      <c r="I10" s="31" t="n">
        <v>0.0402</v>
      </c>
      <c r="J10" s="31" t="n">
        <v>0.2881</v>
      </c>
      <c r="K10" s="25" t="n">
        <v>23.35</v>
      </c>
      <c r="L10" s="23" t="n">
        <v>11</v>
      </c>
    </row>
    <row r="11">
      <c r="A11" s="22" t="inlineStr">
        <is>
          <t>NUT-0002</t>
        </is>
      </c>
      <c r="B11" s="22" t="inlineStr">
        <is>
          <t>F-75 Therapeutic Milk 400 g</t>
        </is>
      </c>
      <c r="C11" s="22" t="inlineStr">
        <is>
          <t>Nutrition</t>
        </is>
      </c>
      <c r="D11" s="22" t="inlineStr">
        <is>
          <t>Tin</t>
        </is>
      </c>
      <c r="E11" s="23" t="n">
        <v>12744</v>
      </c>
      <c r="F11" s="23" t="n">
        <v>9495334.560000001</v>
      </c>
      <c r="G11" s="23" t="n">
        <v>10972383.6</v>
      </c>
      <c r="H11" s="24" t="n">
        <v>0.87</v>
      </c>
      <c r="I11" s="31" t="n">
        <v>0.0366</v>
      </c>
      <c r="J11" s="31" t="n">
        <v>0.3247</v>
      </c>
      <c r="K11" s="25" t="n">
        <v>745.08</v>
      </c>
      <c r="L11" s="23" t="n">
        <v>11</v>
      </c>
    </row>
    <row r="12">
      <c r="A12" s="22" t="inlineStr">
        <is>
          <t>CON-0001</t>
        </is>
      </c>
      <c r="B12" s="22" t="inlineStr">
        <is>
          <t>Examination Gloves, Latex (Pair)</t>
        </is>
      </c>
      <c r="C12" s="22" t="inlineStr">
        <is>
          <t>Medical Consumables</t>
        </is>
      </c>
      <c r="D12" s="22" t="inlineStr">
        <is>
          <t>Pair</t>
        </is>
      </c>
      <c r="E12" s="23" t="n">
        <v>589500</v>
      </c>
      <c r="F12" s="23" t="n">
        <v>9260200</v>
      </c>
      <c r="G12" s="23" t="n">
        <v>10995799</v>
      </c>
      <c r="H12" s="24" t="n">
        <v>0.84</v>
      </c>
      <c r="I12" s="31" t="n">
        <v>0.0357</v>
      </c>
      <c r="J12" s="31" t="n">
        <v>0.3603</v>
      </c>
      <c r="K12" s="25" t="n">
        <v>15.71</v>
      </c>
      <c r="L12" s="23" t="n">
        <v>11</v>
      </c>
    </row>
    <row r="13">
      <c r="A13" s="22" t="inlineStr">
        <is>
          <t>NUT-0004</t>
        </is>
      </c>
      <c r="B13" s="22" t="inlineStr">
        <is>
          <t>Ready-to-Use Supplementary Food (RUSF)</t>
        </is>
      </c>
      <c r="C13" s="22" t="inlineStr">
        <is>
          <t>Nutrition</t>
        </is>
      </c>
      <c r="D13" s="22" t="inlineStr">
        <is>
          <t>Sachet</t>
        </is>
      </c>
      <c r="E13" s="23" t="n">
        <v>54450</v>
      </c>
      <c r="F13" s="23" t="n">
        <v>8657262</v>
      </c>
      <c r="G13" s="23" t="n">
        <v>10224279</v>
      </c>
      <c r="H13" s="24" t="n">
        <v>0.85</v>
      </c>
      <c r="I13" s="31" t="n">
        <v>0.0334</v>
      </c>
      <c r="J13" s="31" t="n">
        <v>0.3937</v>
      </c>
      <c r="K13" s="25" t="n">
        <v>158.99</v>
      </c>
      <c r="L13" s="23" t="n">
        <v>11</v>
      </c>
    </row>
    <row r="14">
      <c r="A14" s="22" t="inlineStr">
        <is>
          <t>CON-0015</t>
        </is>
      </c>
      <c r="B14" s="22" t="inlineStr">
        <is>
          <t>Disposable Delivery Kit</t>
        </is>
      </c>
      <c r="C14" s="22" t="inlineStr">
        <is>
          <t>Medical Consumables</t>
        </is>
      </c>
      <c r="D14" s="22" t="inlineStr">
        <is>
          <t>Kit</t>
        </is>
      </c>
      <c r="E14" s="23" t="n">
        <v>11757</v>
      </c>
      <c r="F14" s="23" t="n">
        <v>8224664.2</v>
      </c>
      <c r="G14" s="23" t="n">
        <v>9877890.699999999</v>
      </c>
      <c r="H14" s="24" t="n">
        <v>0.83</v>
      </c>
      <c r="I14" s="31" t="n">
        <v>0.0317</v>
      </c>
      <c r="J14" s="31" t="n">
        <v>0.4254</v>
      </c>
      <c r="K14" s="25" t="n">
        <v>699.55</v>
      </c>
      <c r="L14" s="23" t="n">
        <v>11</v>
      </c>
    </row>
    <row r="15">
      <c r="A15" s="22" t="inlineStr">
        <is>
          <t>NUT-0005</t>
        </is>
      </c>
      <c r="B15" s="22" t="inlineStr">
        <is>
          <t>Multiple Micronutrient Powder</t>
        </is>
      </c>
      <c r="C15" s="22" t="inlineStr">
        <is>
          <t>Nutrition</t>
        </is>
      </c>
      <c r="D15" s="22" t="inlineStr">
        <is>
          <t>Sachet</t>
        </is>
      </c>
      <c r="E15" s="23" t="n">
        <v>118500</v>
      </c>
      <c r="F15" s="23" t="n">
        <v>7465611</v>
      </c>
      <c r="G15" s="23" t="n">
        <v>8777269.800000001</v>
      </c>
      <c r="H15" s="24" t="n">
        <v>0.85</v>
      </c>
      <c r="I15" s="31" t="n">
        <v>0.0288</v>
      </c>
      <c r="J15" s="31" t="n">
        <v>0.4542</v>
      </c>
      <c r="K15" s="25" t="n">
        <v>63</v>
      </c>
      <c r="L15" s="23" t="n">
        <v>11</v>
      </c>
    </row>
    <row r="16">
      <c r="A16" s="22" t="inlineStr">
        <is>
          <t>MED-0034</t>
        </is>
      </c>
      <c r="B16" s="22" t="inlineStr">
        <is>
          <t>Tenofovir + Emtricitabine 300/200 mg</t>
        </is>
      </c>
      <c r="C16" s="22" t="inlineStr">
        <is>
          <t>Medicines</t>
        </is>
      </c>
      <c r="D16" s="22" t="inlineStr">
        <is>
          <t>Tablet</t>
        </is>
      </c>
      <c r="E16" s="23" t="n">
        <v>7110</v>
      </c>
      <c r="F16" s="23" t="n">
        <v>6858057.6</v>
      </c>
      <c r="G16" s="23" t="n">
        <v>7484647.8</v>
      </c>
      <c r="H16" s="24" t="n">
        <v>0.92</v>
      </c>
      <c r="I16" s="31" t="n">
        <v>0.0264</v>
      </c>
      <c r="J16" s="31" t="n">
        <v>0.4806</v>
      </c>
      <c r="K16" s="25" t="n">
        <v>964.5700000000001</v>
      </c>
      <c r="L16" s="23" t="n">
        <v>11</v>
      </c>
    </row>
    <row r="17">
      <c r="A17" s="22" t="inlineStr">
        <is>
          <t>CON-0004</t>
        </is>
      </c>
      <c r="B17" s="22" t="inlineStr">
        <is>
          <t>Disposable Syringe 10 ml with Needle</t>
        </is>
      </c>
      <c r="C17" s="22" t="inlineStr">
        <is>
          <t>Medical Consumables</t>
        </is>
      </c>
      <c r="D17" s="22" t="inlineStr">
        <is>
          <t>Piece</t>
        </is>
      </c>
      <c r="E17" s="23" t="n">
        <v>210900</v>
      </c>
      <c r="F17" s="23" t="n">
        <v>6188643</v>
      </c>
      <c r="G17" s="23" t="n">
        <v>7532509</v>
      </c>
      <c r="H17" s="24" t="n">
        <v>0.82</v>
      </c>
      <c r="I17" s="31" t="n">
        <v>0.0238</v>
      </c>
      <c r="J17" s="31" t="n">
        <v>0.5044</v>
      </c>
      <c r="K17" s="25" t="n">
        <v>29.34</v>
      </c>
      <c r="L17" s="23" t="n">
        <v>11</v>
      </c>
    </row>
    <row r="18">
      <c r="A18" s="22" t="inlineStr">
        <is>
          <t>MED-0030</t>
        </is>
      </c>
      <c r="B18" s="22" t="inlineStr">
        <is>
          <t>Insulin Regular 100 IU/ml</t>
        </is>
      </c>
      <c r="C18" s="22" t="inlineStr">
        <is>
          <t>Medicines</t>
        </is>
      </c>
      <c r="D18" s="22" t="inlineStr">
        <is>
          <t>Vial</t>
        </is>
      </c>
      <c r="E18" s="23" t="n">
        <v>8936</v>
      </c>
      <c r="F18" s="23" t="n">
        <v>5315182.48</v>
      </c>
      <c r="G18" s="23" t="n">
        <v>5957194.83</v>
      </c>
      <c r="H18" s="24" t="n">
        <v>0.89</v>
      </c>
      <c r="I18" s="31" t="n">
        <v>0.0205</v>
      </c>
      <c r="J18" s="31" t="n">
        <v>0.5249</v>
      </c>
      <c r="K18" s="25" t="n">
        <v>594.8099999999999</v>
      </c>
      <c r="L18" s="23" t="n">
        <v>11</v>
      </c>
    </row>
    <row r="19">
      <c r="A19" s="22" t="inlineStr">
        <is>
          <t>LAB-0002</t>
        </is>
      </c>
      <c r="B19" s="22" t="inlineStr">
        <is>
          <t>Rapid Diagnostic Test - Malaria</t>
        </is>
      </c>
      <c r="C19" s="22" t="inlineStr">
        <is>
          <t>Laboratory</t>
        </is>
      </c>
      <c r="D19" s="22" t="inlineStr">
        <is>
          <t>Test</t>
        </is>
      </c>
      <c r="E19" s="23" t="n">
        <v>31750</v>
      </c>
      <c r="F19" s="23" t="n">
        <v>5119151.25</v>
      </c>
      <c r="G19" s="23" t="n">
        <v>6114246.75</v>
      </c>
      <c r="H19" s="24" t="n">
        <v>0.84</v>
      </c>
      <c r="I19" s="31" t="n">
        <v>0.0197</v>
      </c>
      <c r="J19" s="31" t="n">
        <v>0.5446</v>
      </c>
      <c r="K19" s="25" t="n">
        <v>161.23</v>
      </c>
      <c r="L19" s="23" t="n">
        <v>11</v>
      </c>
    </row>
    <row r="20">
      <c r="A20" s="22" t="inlineStr">
        <is>
          <t>NUT-0007</t>
        </is>
      </c>
      <c r="B20" s="22" t="inlineStr">
        <is>
          <t>Infant Formula, Therapeutic (Lactogen-free)</t>
        </is>
      </c>
      <c r="C20" s="22" t="inlineStr">
        <is>
          <t>Nutrition</t>
        </is>
      </c>
      <c r="D20" s="22" t="inlineStr">
        <is>
          <t>Tin</t>
        </is>
      </c>
      <c r="E20" s="23" t="n">
        <v>3756</v>
      </c>
      <c r="F20" s="23" t="n">
        <v>5005427.04</v>
      </c>
      <c r="G20" s="23" t="n">
        <v>6151359.6</v>
      </c>
      <c r="H20" s="24" t="n">
        <v>0.8100000000000001</v>
      </c>
      <c r="I20" s="31" t="n">
        <v>0.0193</v>
      </c>
      <c r="J20" s="31" t="n">
        <v>0.5639</v>
      </c>
      <c r="K20" s="25" t="n">
        <v>1332.65</v>
      </c>
      <c r="L20" s="23" t="n">
        <v>11</v>
      </c>
    </row>
    <row r="21">
      <c r="A21" s="22" t="inlineStr">
        <is>
          <t>CON-0008</t>
        </is>
      </c>
      <c r="B21" s="22" t="inlineStr">
        <is>
          <t>Gauze Piece Sterile 10x10 cm</t>
        </is>
      </c>
      <c r="C21" s="22" t="inlineStr">
        <is>
          <t>Medical Consumables</t>
        </is>
      </c>
      <c r="D21" s="22" t="inlineStr">
        <is>
          <t>Piece</t>
        </is>
      </c>
      <c r="E21" s="23" t="n">
        <v>472300</v>
      </c>
      <c r="F21" s="23" t="n">
        <v>5001959</v>
      </c>
      <c r="G21" s="23" t="n">
        <v>5995025</v>
      </c>
      <c r="H21" s="24" t="n">
        <v>0.83</v>
      </c>
      <c r="I21" s="31" t="n">
        <v>0.0193</v>
      </c>
      <c r="J21" s="31" t="n">
        <v>0.5832000000000001</v>
      </c>
      <c r="K21" s="25" t="n">
        <v>10.59</v>
      </c>
      <c r="L21" s="23" t="n">
        <v>11</v>
      </c>
    </row>
    <row r="22">
      <c r="A22" s="22" t="inlineStr">
        <is>
          <t>MED-0009</t>
        </is>
      </c>
      <c r="B22" s="22" t="inlineStr">
        <is>
          <t>Normal Saline 0.9% 500 ml</t>
        </is>
      </c>
      <c r="C22" s="22" t="inlineStr">
        <is>
          <t>Medicines</t>
        </is>
      </c>
      <c r="D22" s="22" t="inlineStr">
        <is>
          <t>Bottle</t>
        </is>
      </c>
      <c r="E22" s="23" t="n">
        <v>36600</v>
      </c>
      <c r="F22" s="23" t="n">
        <v>4656189.8</v>
      </c>
      <c r="G22" s="23" t="n">
        <v>5400187.4</v>
      </c>
      <c r="H22" s="24" t="n">
        <v>0.86</v>
      </c>
      <c r="I22" s="31" t="n">
        <v>0.0179</v>
      </c>
      <c r="J22" s="31" t="n">
        <v>0.6011</v>
      </c>
      <c r="K22" s="25" t="n">
        <v>127.22</v>
      </c>
      <c r="L22" s="23" t="n">
        <v>11</v>
      </c>
    </row>
    <row r="23">
      <c r="A23" s="22" t="inlineStr">
        <is>
          <t>NUT-0006</t>
        </is>
      </c>
      <c r="B23" s="22" t="inlineStr">
        <is>
          <t>Therapeutic Zinc + ORS Combo Pack</t>
        </is>
      </c>
      <c r="C23" s="22" t="inlineStr">
        <is>
          <t>Nutrition</t>
        </is>
      </c>
      <c r="D23" s="22" t="inlineStr">
        <is>
          <t>Kit</t>
        </is>
      </c>
      <c r="E23" s="23" t="n">
        <v>43760</v>
      </c>
      <c r="F23" s="23" t="n">
        <v>4594136</v>
      </c>
      <c r="G23" s="23" t="n">
        <v>5208319</v>
      </c>
      <c r="H23" s="24" t="n">
        <v>0.88</v>
      </c>
      <c r="I23" s="31" t="n">
        <v>0.0177</v>
      </c>
      <c r="J23" s="31" t="n">
        <v>0.6189</v>
      </c>
      <c r="K23" s="25" t="n">
        <v>104.98</v>
      </c>
      <c r="L23" s="23" t="n">
        <v>11</v>
      </c>
    </row>
    <row r="24">
      <c r="A24" s="22" t="inlineStr">
        <is>
          <t>MED-0025</t>
        </is>
      </c>
      <c r="B24" s="22" t="inlineStr">
        <is>
          <t>Salbutamol Inhaler 100 mcg</t>
        </is>
      </c>
      <c r="C24" s="22" t="inlineStr">
        <is>
          <t>Medicines</t>
        </is>
      </c>
      <c r="D24" s="22" t="inlineStr">
        <is>
          <t>Inhaler</t>
        </is>
      </c>
      <c r="E24" s="23" t="n">
        <v>14902</v>
      </c>
      <c r="F24" s="23" t="n">
        <v>4358313.8</v>
      </c>
      <c r="G24" s="23" t="n">
        <v>4955835.39</v>
      </c>
      <c r="H24" s="24" t="n">
        <v>0.88</v>
      </c>
      <c r="I24" s="31" t="n">
        <v>0.0168</v>
      </c>
      <c r="J24" s="31" t="n">
        <v>0.6356000000000001</v>
      </c>
      <c r="K24" s="25" t="n">
        <v>292.47</v>
      </c>
      <c r="L24" s="23" t="n">
        <v>11</v>
      </c>
    </row>
    <row r="25">
      <c r="A25" s="22" t="inlineStr">
        <is>
          <t>MED-0004</t>
        </is>
      </c>
      <c r="B25" s="22" t="inlineStr">
        <is>
          <t>Ceftriaxone 1 g Injection</t>
        </is>
      </c>
      <c r="C25" s="22" t="inlineStr">
        <is>
          <t>Medicines</t>
        </is>
      </c>
      <c r="D25" s="22" t="inlineStr">
        <is>
          <t>Vial</t>
        </is>
      </c>
      <c r="E25" s="23" t="n">
        <v>39943</v>
      </c>
      <c r="F25" s="23" t="n">
        <v>4171717.05</v>
      </c>
      <c r="G25" s="23" t="n">
        <v>4900992.11</v>
      </c>
      <c r="H25" s="24" t="n">
        <v>0.85</v>
      </c>
      <c r="I25" s="31" t="n">
        <v>0.0161</v>
      </c>
      <c r="J25" s="31" t="n">
        <v>0.6516999999999999</v>
      </c>
      <c r="K25" s="25" t="n">
        <v>104.44</v>
      </c>
      <c r="L25" s="23" t="n">
        <v>11</v>
      </c>
    </row>
    <row r="26">
      <c r="A26" s="22" t="inlineStr">
        <is>
          <t>MED-0010</t>
        </is>
      </c>
      <c r="B26" s="22" t="inlineStr">
        <is>
          <t>Ringer's Lactate 500 ml</t>
        </is>
      </c>
      <c r="C26" s="22" t="inlineStr">
        <is>
          <t>Medicines</t>
        </is>
      </c>
      <c r="D26" s="22" t="inlineStr">
        <is>
          <t>Bottle</t>
        </is>
      </c>
      <c r="E26" s="23" t="n">
        <v>28860</v>
      </c>
      <c r="F26" s="23" t="n">
        <v>4139487.6</v>
      </c>
      <c r="G26" s="23" t="n">
        <v>5094729.6</v>
      </c>
      <c r="H26" s="24" t="n">
        <v>0.8100000000000001</v>
      </c>
      <c r="I26" s="31" t="n">
        <v>0.016</v>
      </c>
      <c r="J26" s="31" t="n">
        <v>0.6677</v>
      </c>
      <c r="K26" s="25" t="n">
        <v>143.43</v>
      </c>
      <c r="L26" s="23" t="n">
        <v>11</v>
      </c>
    </row>
    <row r="27">
      <c r="A27" s="22" t="inlineStr">
        <is>
          <t>LAB-0003</t>
        </is>
      </c>
      <c r="B27" s="22" t="inlineStr">
        <is>
          <t>Rapid Diagnostic Test - Hepatitis B</t>
        </is>
      </c>
      <c r="C27" s="22" t="inlineStr">
        <is>
          <t>Laboratory</t>
        </is>
      </c>
      <c r="D27" s="22" t="inlineStr">
        <is>
          <t>Test</t>
        </is>
      </c>
      <c r="E27" s="23" t="n">
        <v>20875</v>
      </c>
      <c r="F27" s="23" t="n">
        <v>3888794.5</v>
      </c>
      <c r="G27" s="23" t="n">
        <v>4342348.25</v>
      </c>
      <c r="H27" s="24" t="n">
        <v>0.9</v>
      </c>
      <c r="I27" s="31" t="n">
        <v>0.015</v>
      </c>
      <c r="J27" s="31" t="n">
        <v>0.6827</v>
      </c>
      <c r="K27" s="25" t="n">
        <v>186.29</v>
      </c>
      <c r="L27" s="23" t="n">
        <v>11</v>
      </c>
    </row>
    <row r="28">
      <c r="A28" s="22" t="inlineStr">
        <is>
          <t>CON-0019</t>
        </is>
      </c>
      <c r="B28" s="22" t="inlineStr">
        <is>
          <t>Hand Sanitiser 500 ml</t>
        </is>
      </c>
      <c r="C28" s="22" t="inlineStr">
        <is>
          <t>Medical Consumables</t>
        </is>
      </c>
      <c r="D28" s="22" t="inlineStr">
        <is>
          <t>Bottle</t>
        </is>
      </c>
      <c r="E28" s="23" t="n">
        <v>9024</v>
      </c>
      <c r="F28" s="23" t="n">
        <v>3803557.08</v>
      </c>
      <c r="G28" s="23" t="n">
        <v>4615761.84</v>
      </c>
      <c r="H28" s="24" t="n">
        <v>0.82</v>
      </c>
      <c r="I28" s="31" t="n">
        <v>0.0147</v>
      </c>
      <c r="J28" s="31" t="n">
        <v>0.6973</v>
      </c>
      <c r="K28" s="25" t="n">
        <v>421.49</v>
      </c>
      <c r="L28" s="23" t="n">
        <v>11</v>
      </c>
    </row>
    <row r="29">
      <c r="A29" s="22" t="inlineStr">
        <is>
          <t>CON-0002</t>
        </is>
      </c>
      <c r="B29" s="22" t="inlineStr">
        <is>
          <t>Surgical Gloves, Sterile 7.5 (Pair)</t>
        </is>
      </c>
      <c r="C29" s="22" t="inlineStr">
        <is>
          <t>Medical Consumables</t>
        </is>
      </c>
      <c r="D29" s="22" t="inlineStr">
        <is>
          <t>Pair</t>
        </is>
      </c>
      <c r="E29" s="23" t="n">
        <v>54600</v>
      </c>
      <c r="F29" s="23" t="n">
        <v>3719653.5</v>
      </c>
      <c r="G29" s="23" t="n">
        <v>4213090.5</v>
      </c>
      <c r="H29" s="24" t="n">
        <v>0.88</v>
      </c>
      <c r="I29" s="31" t="n">
        <v>0.0143</v>
      </c>
      <c r="J29" s="31" t="n">
        <v>0.7116</v>
      </c>
      <c r="K29" s="25" t="n">
        <v>68.13</v>
      </c>
      <c r="L29" s="23" t="n">
        <v>11</v>
      </c>
    </row>
    <row r="30">
      <c r="A30" s="22" t="inlineStr">
        <is>
          <t>LAB-0001</t>
        </is>
      </c>
      <c r="B30" s="22" t="inlineStr">
        <is>
          <t>Hemoglobin Reagent (Cyanmethemoglobin)</t>
        </is>
      </c>
      <c r="C30" s="22" t="inlineStr">
        <is>
          <t>Laboratory</t>
        </is>
      </c>
      <c r="D30" s="22" t="inlineStr">
        <is>
          <t>Bottle</t>
        </is>
      </c>
      <c r="E30" s="23" t="n">
        <v>694</v>
      </c>
      <c r="F30" s="23" t="n">
        <v>3622446.95</v>
      </c>
      <c r="G30" s="23" t="n">
        <v>4017339.39</v>
      </c>
      <c r="H30" s="24" t="n">
        <v>0.9</v>
      </c>
      <c r="I30" s="31" t="n">
        <v>0.014</v>
      </c>
      <c r="J30" s="31" t="n">
        <v>0.7256</v>
      </c>
      <c r="K30" s="25" t="n">
        <v>5219.66</v>
      </c>
      <c r="L30" s="23" t="n">
        <v>11</v>
      </c>
    </row>
    <row r="31">
      <c r="A31" s="22" t="inlineStr">
        <is>
          <t>LAB-0004</t>
        </is>
      </c>
      <c r="B31" s="22" t="inlineStr">
        <is>
          <t>Rapid Diagnostic Test - Hepatitis C</t>
        </is>
      </c>
      <c r="C31" s="22" t="inlineStr">
        <is>
          <t>Laboratory</t>
        </is>
      </c>
      <c r="D31" s="22" t="inlineStr">
        <is>
          <t>Test</t>
        </is>
      </c>
      <c r="E31" s="23" t="n">
        <v>17275</v>
      </c>
      <c r="F31" s="23" t="n">
        <v>3519814.25</v>
      </c>
      <c r="G31" s="23" t="n">
        <v>4314184.25</v>
      </c>
      <c r="H31" s="24" t="n">
        <v>0.82</v>
      </c>
      <c r="I31" s="31" t="n">
        <v>0.0136</v>
      </c>
      <c r="J31" s="31" t="n">
        <v>0.7392</v>
      </c>
      <c r="K31" s="25" t="n">
        <v>203.75</v>
      </c>
      <c r="L31" s="23" t="n">
        <v>11</v>
      </c>
    </row>
    <row r="32">
      <c r="A32" s="22" t="inlineStr">
        <is>
          <t>MED-0011</t>
        </is>
      </c>
      <c r="B32" s="22" t="inlineStr">
        <is>
          <t>Dextrose 5% 500 ml</t>
        </is>
      </c>
      <c r="C32" s="22" t="inlineStr">
        <is>
          <t>Medicines</t>
        </is>
      </c>
      <c r="D32" s="22" t="inlineStr">
        <is>
          <t>Bottle</t>
        </is>
      </c>
      <c r="E32" s="23" t="n">
        <v>23540</v>
      </c>
      <c r="F32" s="23" t="n">
        <v>3154763.4</v>
      </c>
      <c r="G32" s="23" t="n">
        <v>3669255.2</v>
      </c>
      <c r="H32" s="24" t="n">
        <v>0.86</v>
      </c>
      <c r="I32" s="31" t="n">
        <v>0.0122</v>
      </c>
      <c r="J32" s="31" t="n">
        <v>0.7513</v>
      </c>
      <c r="K32" s="25" t="n">
        <v>134.02</v>
      </c>
      <c r="L32" s="23" t="n">
        <v>11</v>
      </c>
    </row>
    <row r="33">
      <c r="A33" s="22" t="inlineStr">
        <is>
          <t>MED-0012</t>
        </is>
      </c>
      <c r="B33" s="22" t="inlineStr">
        <is>
          <t>Tetanus Toxoid Vaccine 0.5 ml</t>
        </is>
      </c>
      <c r="C33" s="22" t="inlineStr">
        <is>
          <t>Medicines</t>
        </is>
      </c>
      <c r="D33" s="22" t="inlineStr">
        <is>
          <t>Dose</t>
        </is>
      </c>
      <c r="E33" s="23" t="n">
        <v>30150</v>
      </c>
      <c r="F33" s="23" t="n">
        <v>3124959.1</v>
      </c>
      <c r="G33" s="23" t="n">
        <v>3973889.3</v>
      </c>
      <c r="H33" s="24" t="n">
        <v>0.79</v>
      </c>
      <c r="I33" s="31" t="n">
        <v>0.012</v>
      </c>
      <c r="J33" s="31" t="n">
        <v>0.7634</v>
      </c>
      <c r="K33" s="25" t="n">
        <v>103.65</v>
      </c>
      <c r="L33" s="23" t="n">
        <v>11</v>
      </c>
    </row>
    <row r="34">
      <c r="A34" s="22" t="inlineStr">
        <is>
          <t>CON-0011</t>
        </is>
      </c>
      <c r="B34" s="22" t="inlineStr">
        <is>
          <t>Nitrile Examination Gloves (Box 100)</t>
        </is>
      </c>
      <c r="C34" s="22" t="inlineStr">
        <is>
          <t>Medical Consumables</t>
        </is>
      </c>
      <c r="D34" s="22" t="inlineStr">
        <is>
          <t>Box</t>
        </is>
      </c>
      <c r="E34" s="23" t="n">
        <v>2090</v>
      </c>
      <c r="F34" s="23" t="n">
        <v>2963135.97</v>
      </c>
      <c r="G34" s="23" t="n">
        <v>3483875.39</v>
      </c>
      <c r="H34" s="24" t="n">
        <v>0.85</v>
      </c>
      <c r="I34" s="31" t="n">
        <v>0.0114</v>
      </c>
      <c r="J34" s="31" t="n">
        <v>0.7748</v>
      </c>
      <c r="K34" s="25" t="n">
        <v>1417.77</v>
      </c>
      <c r="L34" s="23" t="n">
        <v>11</v>
      </c>
    </row>
    <row r="35">
      <c r="A35" s="22" t="inlineStr">
        <is>
          <t>MED-0024</t>
        </is>
      </c>
      <c r="B35" s="22" t="inlineStr">
        <is>
          <t>Artemether + Lumefantrine 20/120 mg</t>
        </is>
      </c>
      <c r="C35" s="22" t="inlineStr">
        <is>
          <t>Medicines</t>
        </is>
      </c>
      <c r="D35" s="22" t="inlineStr">
        <is>
          <t>Tablet</t>
        </is>
      </c>
      <c r="E35" s="23" t="n">
        <v>21030</v>
      </c>
      <c r="F35" s="23" t="n">
        <v>2721949.8</v>
      </c>
      <c r="G35" s="23" t="n">
        <v>3029199.9</v>
      </c>
      <c r="H35" s="24" t="n">
        <v>0.9</v>
      </c>
      <c r="I35" s="31" t="n">
        <v>0.0105</v>
      </c>
      <c r="J35" s="31" t="n">
        <v>0.7853</v>
      </c>
      <c r="K35" s="25" t="n">
        <v>129.43</v>
      </c>
      <c r="L35" s="23" t="n">
        <v>11</v>
      </c>
    </row>
    <row r="36">
      <c r="A36" s="22" t="inlineStr">
        <is>
          <t>MED-0019</t>
        </is>
      </c>
      <c r="B36" s="22" t="inlineStr">
        <is>
          <t>Rifampicin + Isoniazid 150/75 mg</t>
        </is>
      </c>
      <c r="C36" s="22" t="inlineStr">
        <is>
          <t>Medicines</t>
        </is>
      </c>
      <c r="D36" s="22" t="inlineStr">
        <is>
          <t>Tablet</t>
        </is>
      </c>
      <c r="E36" s="23" t="n">
        <v>124992</v>
      </c>
      <c r="F36" s="23" t="n">
        <v>2538264.96</v>
      </c>
      <c r="G36" s="23" t="n">
        <v>2828313.6</v>
      </c>
      <c r="H36" s="24" t="n">
        <v>0.9</v>
      </c>
      <c r="I36" s="31" t="n">
        <v>0.0098</v>
      </c>
      <c r="J36" s="31" t="n">
        <v>0.7951</v>
      </c>
      <c r="K36" s="25" t="n">
        <v>20.31</v>
      </c>
      <c r="L36" s="23" t="n">
        <v>11</v>
      </c>
    </row>
    <row r="37">
      <c r="A37" s="22" t="inlineStr">
        <is>
          <t>GEN-0007</t>
        </is>
      </c>
      <c r="B37" s="22" t="inlineStr">
        <is>
          <t>Printed IEC Material (Booklet)</t>
        </is>
      </c>
      <c r="C37" s="22" t="inlineStr">
        <is>
          <t>General Items</t>
        </is>
      </c>
      <c r="D37" s="22" t="inlineStr">
        <is>
          <t>Piece</t>
        </is>
      </c>
      <c r="E37" s="23" t="n">
        <v>58100</v>
      </c>
      <c r="F37" s="23" t="n">
        <v>2419652</v>
      </c>
      <c r="G37" s="23" t="n">
        <v>2742365</v>
      </c>
      <c r="H37" s="24" t="n">
        <v>0.88</v>
      </c>
      <c r="I37" s="31" t="n">
        <v>0.009299999999999999</v>
      </c>
      <c r="J37" s="31" t="n">
        <v>0.8044</v>
      </c>
      <c r="K37" s="25" t="n">
        <v>41.65</v>
      </c>
      <c r="L37" s="23" t="n">
        <v>11</v>
      </c>
    </row>
    <row r="38">
      <c r="A38" s="22" t="inlineStr">
        <is>
          <t>CON-0007</t>
        </is>
      </c>
      <c r="B38" s="22" t="inlineStr">
        <is>
          <t>Cotton Wool Roll 500 g</t>
        </is>
      </c>
      <c r="C38" s="22" t="inlineStr">
        <is>
          <t>Medical Consumables</t>
        </is>
      </c>
      <c r="D38" s="22" t="inlineStr">
        <is>
          <t>Roll</t>
        </is>
      </c>
      <c r="E38" s="23" t="n">
        <v>8450</v>
      </c>
      <c r="F38" s="23" t="n">
        <v>2268914.2</v>
      </c>
      <c r="G38" s="23" t="n">
        <v>2599655.7</v>
      </c>
      <c r="H38" s="24" t="n">
        <v>0.87</v>
      </c>
      <c r="I38" s="31" t="n">
        <v>0.008699999999999999</v>
      </c>
      <c r="J38" s="31" t="n">
        <v>0.8131</v>
      </c>
      <c r="K38" s="25" t="n">
        <v>268.51</v>
      </c>
      <c r="L38" s="23" t="n">
        <v>11</v>
      </c>
    </row>
    <row r="39">
      <c r="A39" s="22" t="inlineStr">
        <is>
          <t>CON-0010</t>
        </is>
      </c>
      <c r="B39" s="22" t="inlineStr">
        <is>
          <t>Surgical Face Mask, 3-ply</t>
        </is>
      </c>
      <c r="C39" s="22" t="inlineStr">
        <is>
          <t>Medical Consumables</t>
        </is>
      </c>
      <c r="D39" s="22" t="inlineStr">
        <is>
          <t>Piece</t>
        </is>
      </c>
      <c r="E39" s="23" t="n">
        <v>287050</v>
      </c>
      <c r="F39" s="23" t="n">
        <v>2252968</v>
      </c>
      <c r="G39" s="23" t="n">
        <v>2712404.5</v>
      </c>
      <c r="H39" s="24" t="n">
        <v>0.83</v>
      </c>
      <c r="I39" s="31" t="n">
        <v>0.008699999999999999</v>
      </c>
      <c r="J39" s="31" t="n">
        <v>0.8218</v>
      </c>
      <c r="K39" s="25" t="n">
        <v>7.85</v>
      </c>
      <c r="L39" s="23" t="n">
        <v>11</v>
      </c>
    </row>
    <row r="40">
      <c r="A40" s="22" t="inlineStr">
        <is>
          <t>CON-0006</t>
        </is>
      </c>
      <c r="B40" s="22" t="inlineStr">
        <is>
          <t>IV Giving Set</t>
        </is>
      </c>
      <c r="C40" s="22" t="inlineStr">
        <is>
          <t>Medical Consumables</t>
        </is>
      </c>
      <c r="D40" s="22" t="inlineStr">
        <is>
          <t>Piece</t>
        </is>
      </c>
      <c r="E40" s="23" t="n">
        <v>24050</v>
      </c>
      <c r="F40" s="23" t="n">
        <v>2217853</v>
      </c>
      <c r="G40" s="23" t="n">
        <v>2414348.5</v>
      </c>
      <c r="H40" s="24" t="n">
        <v>0.92</v>
      </c>
      <c r="I40" s="31" t="n">
        <v>0.008500000000000001</v>
      </c>
      <c r="J40" s="31" t="n">
        <v>0.8303</v>
      </c>
      <c r="K40" s="25" t="n">
        <v>92.22</v>
      </c>
      <c r="L40" s="23" t="n">
        <v>11</v>
      </c>
    </row>
    <row r="41">
      <c r="A41" s="22" t="inlineStr">
        <is>
          <t>CON-0013</t>
        </is>
      </c>
      <c r="B41" s="22" t="inlineStr">
        <is>
          <t>Povidone Iodine 10% 100 ml</t>
        </is>
      </c>
      <c r="C41" s="22" t="inlineStr">
        <is>
          <t>Medical Consumables</t>
        </is>
      </c>
      <c r="D41" s="22" t="inlineStr">
        <is>
          <t>Bottle</t>
        </is>
      </c>
      <c r="E41" s="23" t="n">
        <v>11844</v>
      </c>
      <c r="F41" s="23" t="n">
        <v>2188662.12</v>
      </c>
      <c r="G41" s="23" t="n">
        <v>2470841.4</v>
      </c>
      <c r="H41" s="24" t="n">
        <v>0.89</v>
      </c>
      <c r="I41" s="31" t="n">
        <v>0.008399999999999999</v>
      </c>
      <c r="J41" s="31" t="n">
        <v>0.8388</v>
      </c>
      <c r="K41" s="25" t="n">
        <v>184.79</v>
      </c>
      <c r="L41" s="23" t="n">
        <v>11</v>
      </c>
    </row>
    <row r="42">
      <c r="A42" s="22" t="inlineStr">
        <is>
          <t>CON-0020</t>
        </is>
      </c>
      <c r="B42" s="22" t="inlineStr">
        <is>
          <t>Sputum Collection Container</t>
        </is>
      </c>
      <c r="C42" s="22" t="inlineStr">
        <is>
          <t>Medical Consumables</t>
        </is>
      </c>
      <c r="D42" s="22" t="inlineStr">
        <is>
          <t>Piece</t>
        </is>
      </c>
      <c r="E42" s="23" t="n">
        <v>72900</v>
      </c>
      <c r="F42" s="23" t="n">
        <v>2066209</v>
      </c>
      <c r="G42" s="23" t="n">
        <v>2390592</v>
      </c>
      <c r="H42" s="24" t="n">
        <v>0.86</v>
      </c>
      <c r="I42" s="31" t="n">
        <v>0.008</v>
      </c>
      <c r="J42" s="31" t="n">
        <v>0.8467</v>
      </c>
      <c r="K42" s="25" t="n">
        <v>28.34</v>
      </c>
      <c r="L42" s="23" t="n">
        <v>11</v>
      </c>
    </row>
    <row r="43">
      <c r="A43" s="22" t="inlineStr">
        <is>
          <t>CON-0009</t>
        </is>
      </c>
      <c r="B43" s="22" t="inlineStr">
        <is>
          <t>Adhesive Bandage 10 cm x 4 m</t>
        </is>
      </c>
      <c r="C43" s="22" t="inlineStr">
        <is>
          <t>Medical Consumables</t>
        </is>
      </c>
      <c r="D43" s="22" t="inlineStr">
        <is>
          <t>Roll</t>
        </is>
      </c>
      <c r="E43" s="23" t="n">
        <v>19560</v>
      </c>
      <c r="F43" s="23" t="n">
        <v>2047212.36</v>
      </c>
      <c r="G43" s="23" t="n">
        <v>2407822.8</v>
      </c>
      <c r="H43" s="24" t="n">
        <v>0.85</v>
      </c>
      <c r="I43" s="31" t="n">
        <v>0.007900000000000001</v>
      </c>
      <c r="J43" s="31" t="n">
        <v>0.8546</v>
      </c>
      <c r="K43" s="25" t="n">
        <v>104.66</v>
      </c>
      <c r="L43" s="23" t="n">
        <v>11</v>
      </c>
    </row>
    <row r="44">
      <c r="A44" s="22" t="inlineStr">
        <is>
          <t>CON-0005</t>
        </is>
      </c>
      <c r="B44" s="22" t="inlineStr">
        <is>
          <t>IV Cannula 22G</t>
        </is>
      </c>
      <c r="C44" s="22" t="inlineStr">
        <is>
          <t>Medical Consumables</t>
        </is>
      </c>
      <c r="D44" s="22" t="inlineStr">
        <is>
          <t>Piece</t>
        </is>
      </c>
      <c r="E44" s="23" t="n">
        <v>40350</v>
      </c>
      <c r="F44" s="23" t="n">
        <v>2027342.5</v>
      </c>
      <c r="G44" s="23" t="n">
        <v>2228737</v>
      </c>
      <c r="H44" s="24" t="n">
        <v>0.91</v>
      </c>
      <c r="I44" s="31" t="n">
        <v>0.0078</v>
      </c>
      <c r="J44" s="31" t="n">
        <v>0.8624000000000001</v>
      </c>
      <c r="K44" s="25" t="n">
        <v>50.24</v>
      </c>
      <c r="L44" s="23" t="n">
        <v>11</v>
      </c>
    </row>
    <row r="45">
      <c r="A45" s="22" t="inlineStr">
        <is>
          <t>CON-0017</t>
        </is>
      </c>
      <c r="B45" s="22" t="inlineStr">
        <is>
          <t>Suture Polyglactin 2-0</t>
        </is>
      </c>
      <c r="C45" s="22" t="inlineStr">
        <is>
          <t>Medical Consumables</t>
        </is>
      </c>
      <c r="D45" s="22" t="inlineStr">
        <is>
          <t>Piece</t>
        </is>
      </c>
      <c r="E45" s="23" t="n">
        <v>5844</v>
      </c>
      <c r="F45" s="23" t="n">
        <v>1990789.32</v>
      </c>
      <c r="G45" s="23" t="n">
        <v>2232366.12</v>
      </c>
      <c r="H45" s="24" t="n">
        <v>0.89</v>
      </c>
      <c r="I45" s="31" t="n">
        <v>0.0077</v>
      </c>
      <c r="J45" s="31" t="n">
        <v>0.8701</v>
      </c>
      <c r="K45" s="25" t="n">
        <v>340.66</v>
      </c>
      <c r="L45" s="23" t="n">
        <v>11</v>
      </c>
    </row>
    <row r="46">
      <c r="A46" s="22" t="inlineStr">
        <is>
          <t>LAB-0006</t>
        </is>
      </c>
      <c r="B46" s="22" t="inlineStr">
        <is>
          <t>Blood Collection Tube EDTA 4 ml</t>
        </is>
      </c>
      <c r="C46" s="22" t="inlineStr">
        <is>
          <t>Laboratory</t>
        </is>
      </c>
      <c r="D46" s="22" t="inlineStr">
        <is>
          <t>Piece</t>
        </is>
      </c>
      <c r="E46" s="23" t="n">
        <v>63700</v>
      </c>
      <c r="F46" s="23" t="n">
        <v>1888463</v>
      </c>
      <c r="G46" s="23" t="n">
        <v>2138150</v>
      </c>
      <c r="H46" s="24" t="n">
        <v>0.88</v>
      </c>
      <c r="I46" s="31" t="n">
        <v>0.0073</v>
      </c>
      <c r="J46" s="31" t="n">
        <v>0.8774</v>
      </c>
      <c r="K46" s="25" t="n">
        <v>29.65</v>
      </c>
      <c r="L46" s="23" t="n">
        <v>11</v>
      </c>
    </row>
    <row r="47">
      <c r="A47" s="22" t="inlineStr">
        <is>
          <t>MED-0002</t>
        </is>
      </c>
      <c r="B47" s="22" t="inlineStr">
        <is>
          <t>Amoxicillin 250 mg Capsule</t>
        </is>
      </c>
      <c r="C47" s="22" t="inlineStr">
        <is>
          <t>Medicines</t>
        </is>
      </c>
      <c r="D47" s="22" t="inlineStr">
        <is>
          <t>Capsule</t>
        </is>
      </c>
      <c r="E47" s="23" t="n">
        <v>401000</v>
      </c>
      <c r="F47" s="23" t="n">
        <v>1843760</v>
      </c>
      <c r="G47" s="23" t="n">
        <v>2102580</v>
      </c>
      <c r="H47" s="24" t="n">
        <v>0.88</v>
      </c>
      <c r="I47" s="31" t="n">
        <v>0.0071</v>
      </c>
      <c r="J47" s="31" t="n">
        <v>0.8845</v>
      </c>
      <c r="K47" s="25" t="n">
        <v>4.6</v>
      </c>
      <c r="L47" s="23" t="n">
        <v>11</v>
      </c>
    </row>
    <row r="48">
      <c r="A48" s="22" t="inlineStr">
        <is>
          <t>GEN-0005</t>
        </is>
      </c>
      <c r="B48" s="22" t="inlineStr">
        <is>
          <t>Sharps Disposal Container 5 L</t>
        </is>
      </c>
      <c r="C48" s="22" t="inlineStr">
        <is>
          <t>General Items</t>
        </is>
      </c>
      <c r="D48" s="22" t="inlineStr">
        <is>
          <t>Piece</t>
        </is>
      </c>
      <c r="E48" s="23" t="n">
        <v>3989</v>
      </c>
      <c r="F48" s="23" t="n">
        <v>1832368.03</v>
      </c>
      <c r="G48" s="23" t="n">
        <v>2173484.99</v>
      </c>
      <c r="H48" s="24" t="n">
        <v>0.84</v>
      </c>
      <c r="I48" s="31" t="n">
        <v>0.0071</v>
      </c>
      <c r="J48" s="31" t="n">
        <v>0.8915999999999999</v>
      </c>
      <c r="K48" s="25" t="n">
        <v>459.36</v>
      </c>
      <c r="L48" s="23" t="n">
        <v>11</v>
      </c>
    </row>
    <row r="49">
      <c r="A49" s="22" t="inlineStr">
        <is>
          <t>GEN-0006</t>
        </is>
      </c>
      <c r="B49" s="22" t="inlineStr">
        <is>
          <t>Biohazard Waste Bag (Pack 50)</t>
        </is>
      </c>
      <c r="C49" s="22" t="inlineStr">
        <is>
          <t>General Items</t>
        </is>
      </c>
      <c r="D49" s="22" t="inlineStr">
        <is>
          <t>Pack</t>
        </is>
      </c>
      <c r="E49" s="23" t="n">
        <v>2650</v>
      </c>
      <c r="F49" s="23" t="n">
        <v>1594236.07</v>
      </c>
      <c r="G49" s="23" t="n">
        <v>1982284.04</v>
      </c>
      <c r="H49" s="24" t="n">
        <v>0.8</v>
      </c>
      <c r="I49" s="31" t="n">
        <v>0.0061</v>
      </c>
      <c r="J49" s="31" t="n">
        <v>0.8977000000000001</v>
      </c>
      <c r="K49" s="25" t="n">
        <v>601.6</v>
      </c>
      <c r="L49" s="23" t="n">
        <v>11</v>
      </c>
    </row>
    <row r="50">
      <c r="A50" s="22" t="inlineStr">
        <is>
          <t>LAB-0008</t>
        </is>
      </c>
      <c r="B50" s="22" t="inlineStr">
        <is>
          <t>Ziehl-Neelsen Stain Kit</t>
        </is>
      </c>
      <c r="C50" s="22" t="inlineStr">
        <is>
          <t>Laboratory</t>
        </is>
      </c>
      <c r="D50" s="22" t="inlineStr">
        <is>
          <t>Kit</t>
        </is>
      </c>
      <c r="E50" s="23" t="n">
        <v>347</v>
      </c>
      <c r="F50" s="23" t="n">
        <v>1492011.8</v>
      </c>
      <c r="G50" s="23" t="n">
        <v>1572919.43</v>
      </c>
      <c r="H50" s="24" t="n">
        <v>0.95</v>
      </c>
      <c r="I50" s="31" t="n">
        <v>0.0057</v>
      </c>
      <c r="J50" s="31" t="n">
        <v>0.9034</v>
      </c>
      <c r="K50" s="25" t="n">
        <v>4299.75</v>
      </c>
      <c r="L50" s="23" t="n">
        <v>11</v>
      </c>
    </row>
    <row r="51">
      <c r="A51" s="22" t="inlineStr">
        <is>
          <t>MED-0016</t>
        </is>
      </c>
      <c r="B51" s="22" t="inlineStr">
        <is>
          <t>Ferrous Sulphate + Folic Acid Tablet</t>
        </is>
      </c>
      <c r="C51" s="22" t="inlineStr">
        <is>
          <t>Medicines</t>
        </is>
      </c>
      <c r="D51" s="22" t="inlineStr">
        <is>
          <t>Tablet</t>
        </is>
      </c>
      <c r="E51" s="23" t="n">
        <v>627000</v>
      </c>
      <c r="F51" s="23" t="n">
        <v>1268070</v>
      </c>
      <c r="G51" s="23" t="n">
        <v>1370210</v>
      </c>
      <c r="H51" s="24" t="n">
        <v>0.93</v>
      </c>
      <c r="I51" s="31" t="n">
        <v>0.0049</v>
      </c>
      <c r="J51" s="31" t="n">
        <v>0.9083</v>
      </c>
      <c r="K51" s="25" t="n">
        <v>2.02</v>
      </c>
      <c r="L51" s="23" t="n">
        <v>11</v>
      </c>
    </row>
    <row r="52">
      <c r="A52" s="22" t="inlineStr">
        <is>
          <t>GEN-0003</t>
        </is>
      </c>
      <c r="B52" s="22" t="inlineStr">
        <is>
          <t>A4 Paper Ream 80 gsm</t>
        </is>
      </c>
      <c r="C52" s="22" t="inlineStr">
        <is>
          <t>General Items</t>
        </is>
      </c>
      <c r="D52" s="22" t="inlineStr">
        <is>
          <t>Ream</t>
        </is>
      </c>
      <c r="E52" s="23" t="n">
        <v>705</v>
      </c>
      <c r="F52" s="23" t="n">
        <v>1263904.2</v>
      </c>
      <c r="G52" s="23" t="n">
        <v>1483097.95</v>
      </c>
      <c r="H52" s="24" t="n">
        <v>0.85</v>
      </c>
      <c r="I52" s="31" t="n">
        <v>0.0049</v>
      </c>
      <c r="J52" s="31" t="n">
        <v>0.9132</v>
      </c>
      <c r="K52" s="25" t="n">
        <v>1792.77</v>
      </c>
      <c r="L52" s="23" t="n">
        <v>11</v>
      </c>
    </row>
    <row r="53">
      <c r="A53" s="22" t="inlineStr">
        <is>
          <t>GEN-0001</t>
        </is>
      </c>
      <c r="B53" s="22" t="inlineStr">
        <is>
          <t>Nitrile Gloves, Utility (Pair)</t>
        </is>
      </c>
      <c r="C53" s="22" t="inlineStr">
        <is>
          <t>General Items</t>
        </is>
      </c>
      <c r="D53" s="22" t="inlineStr">
        <is>
          <t>Pair</t>
        </is>
      </c>
      <c r="E53" s="23" t="n">
        <v>35600</v>
      </c>
      <c r="F53" s="23" t="n">
        <v>1244189</v>
      </c>
      <c r="G53" s="23" t="n">
        <v>1306089.5</v>
      </c>
      <c r="H53" s="24" t="n">
        <v>0.95</v>
      </c>
      <c r="I53" s="31" t="n">
        <v>0.0048</v>
      </c>
      <c r="J53" s="31" t="n">
        <v>0.918</v>
      </c>
      <c r="K53" s="25" t="n">
        <v>34.95</v>
      </c>
      <c r="L53" s="23" t="n">
        <v>11</v>
      </c>
    </row>
    <row r="54">
      <c r="A54" s="22" t="inlineStr">
        <is>
          <t>CON-0016</t>
        </is>
      </c>
      <c r="B54" s="22" t="inlineStr">
        <is>
          <t>Umbilical Cord Clamp</t>
        </is>
      </c>
      <c r="C54" s="22" t="inlineStr">
        <is>
          <t>Medical Consumables</t>
        </is>
      </c>
      <c r="D54" s="22" t="inlineStr">
        <is>
          <t>Piece</t>
        </is>
      </c>
      <c r="E54" s="23" t="n">
        <v>96900</v>
      </c>
      <c r="F54" s="23" t="n">
        <v>1216134</v>
      </c>
      <c r="G54" s="23" t="n">
        <v>1482962</v>
      </c>
      <c r="H54" s="24" t="n">
        <v>0.82</v>
      </c>
      <c r="I54" s="31" t="n">
        <v>0.0047</v>
      </c>
      <c r="J54" s="31" t="n">
        <v>0.9227</v>
      </c>
      <c r="K54" s="25" t="n">
        <v>12.55</v>
      </c>
      <c r="L54" s="23" t="n">
        <v>11</v>
      </c>
    </row>
    <row r="55">
      <c r="A55" s="22" t="inlineStr">
        <is>
          <t>CON-0014</t>
        </is>
      </c>
      <c r="B55" s="22" t="inlineStr">
        <is>
          <t>Urine Collection Bag 2000 ml</t>
        </is>
      </c>
      <c r="C55" s="22" t="inlineStr">
        <is>
          <t>Medical Consumables</t>
        </is>
      </c>
      <c r="D55" s="22" t="inlineStr">
        <is>
          <t>Piece</t>
        </is>
      </c>
      <c r="E55" s="23" t="n">
        <v>14325</v>
      </c>
      <c r="F55" s="23" t="n">
        <v>1211942.25</v>
      </c>
      <c r="G55" s="23" t="n">
        <v>1439015</v>
      </c>
      <c r="H55" s="24" t="n">
        <v>0.84</v>
      </c>
      <c r="I55" s="31" t="n">
        <v>0.0047</v>
      </c>
      <c r="J55" s="31" t="n">
        <v>0.9274</v>
      </c>
      <c r="K55" s="25" t="n">
        <v>84.59999999999999</v>
      </c>
      <c r="L55" s="23" t="n">
        <v>11</v>
      </c>
    </row>
    <row r="56">
      <c r="A56" s="22" t="inlineStr">
        <is>
          <t>GEN-0002</t>
        </is>
      </c>
      <c r="B56" s="22" t="inlineStr">
        <is>
          <t>Bleach Solution 5% 1 L</t>
        </is>
      </c>
      <c r="C56" s="22" t="inlineStr">
        <is>
          <t>General Items</t>
        </is>
      </c>
      <c r="D56" s="22" t="inlineStr">
        <is>
          <t>Bottle</t>
        </is>
      </c>
      <c r="E56" s="23" t="n">
        <v>3840</v>
      </c>
      <c r="F56" s="23" t="n">
        <v>1190873.16</v>
      </c>
      <c r="G56" s="23" t="n">
        <v>1393044.24</v>
      </c>
      <c r="H56" s="24" t="n">
        <v>0.85</v>
      </c>
      <c r="I56" s="31" t="n">
        <v>0.0046</v>
      </c>
      <c r="J56" s="31" t="n">
        <v>0.9319</v>
      </c>
      <c r="K56" s="25" t="n">
        <v>310.12</v>
      </c>
      <c r="L56" s="23" t="n">
        <v>11</v>
      </c>
    </row>
    <row r="57">
      <c r="A57" s="22" t="inlineStr">
        <is>
          <t>LAB-0005</t>
        </is>
      </c>
      <c r="B57" s="22" t="inlineStr">
        <is>
          <t>Glucose Test Strips</t>
        </is>
      </c>
      <c r="C57" s="22" t="inlineStr">
        <is>
          <t>Laboratory</t>
        </is>
      </c>
      <c r="D57" s="22" t="inlineStr">
        <is>
          <t>Strip</t>
        </is>
      </c>
      <c r="E57" s="23" t="n">
        <v>24650</v>
      </c>
      <c r="F57" s="23" t="n">
        <v>1130553</v>
      </c>
      <c r="G57" s="23" t="n">
        <v>1277393.5</v>
      </c>
      <c r="H57" s="24" t="n">
        <v>0.89</v>
      </c>
      <c r="I57" s="31" t="n">
        <v>0.0044</v>
      </c>
      <c r="J57" s="31" t="n">
        <v>0.9363</v>
      </c>
      <c r="K57" s="25" t="n">
        <v>45.86</v>
      </c>
      <c r="L57" s="23" t="n">
        <v>11</v>
      </c>
    </row>
    <row r="58">
      <c r="A58" s="22" t="inlineStr">
        <is>
          <t>MED-0003</t>
        </is>
      </c>
      <c r="B58" s="22" t="inlineStr">
        <is>
          <t>Amoxicillin + Clavulanic Acid 625 mg</t>
        </is>
      </c>
      <c r="C58" s="22" t="inlineStr">
        <is>
          <t>Medicines</t>
        </is>
      </c>
      <c r="D58" s="22" t="inlineStr">
        <is>
          <t>Tablet</t>
        </is>
      </c>
      <c r="E58" s="23" t="n">
        <v>26500</v>
      </c>
      <c r="F58" s="23" t="n">
        <v>1112296</v>
      </c>
      <c r="G58" s="23" t="n">
        <v>1250297</v>
      </c>
      <c r="H58" s="24" t="n">
        <v>0.89</v>
      </c>
      <c r="I58" s="31" t="n">
        <v>0.0043</v>
      </c>
      <c r="J58" s="31" t="n">
        <v>0.9406</v>
      </c>
      <c r="K58" s="25" t="n">
        <v>41.97</v>
      </c>
      <c r="L58" s="23" t="n">
        <v>11</v>
      </c>
    </row>
    <row r="59">
      <c r="A59" s="22" t="inlineStr">
        <is>
          <t>MED-0001</t>
        </is>
      </c>
      <c r="B59" s="22" t="inlineStr">
        <is>
          <t>Paracetamol 500 mg Tablet</t>
        </is>
      </c>
      <c r="C59" s="22" t="inlineStr">
        <is>
          <t>Medicines</t>
        </is>
      </c>
      <c r="D59" s="22" t="inlineStr">
        <is>
          <t>Tablet</t>
        </is>
      </c>
      <c r="E59" s="23" t="n">
        <v>867000</v>
      </c>
      <c r="F59" s="23" t="n">
        <v>1086880</v>
      </c>
      <c r="G59" s="23" t="n">
        <v>1227810</v>
      </c>
      <c r="H59" s="24" t="n">
        <v>0.89</v>
      </c>
      <c r="I59" s="31" t="n">
        <v>0.0042</v>
      </c>
      <c r="J59" s="31" t="n">
        <v>0.9448</v>
      </c>
      <c r="K59" s="25" t="n">
        <v>1.25</v>
      </c>
      <c r="L59" s="23" t="n">
        <v>11</v>
      </c>
    </row>
    <row r="60">
      <c r="A60" s="22" t="inlineStr">
        <is>
          <t>CON-0018</t>
        </is>
      </c>
      <c r="B60" s="22" t="inlineStr">
        <is>
          <t>Blood Transfusion Set</t>
        </is>
      </c>
      <c r="C60" s="22" t="inlineStr">
        <is>
          <t>Medical Consumables</t>
        </is>
      </c>
      <c r="D60" s="22" t="inlineStr">
        <is>
          <t>Piece</t>
        </is>
      </c>
      <c r="E60" s="23" t="n">
        <v>4775</v>
      </c>
      <c r="F60" s="23" t="n">
        <v>1012116.25</v>
      </c>
      <c r="G60" s="23" t="n">
        <v>1182486.25</v>
      </c>
      <c r="H60" s="24" t="n">
        <v>0.86</v>
      </c>
      <c r="I60" s="31" t="n">
        <v>0.0039</v>
      </c>
      <c r="J60" s="31" t="n">
        <v>0.9487</v>
      </c>
      <c r="K60" s="25" t="n">
        <v>211.96</v>
      </c>
      <c r="L60" s="23" t="n">
        <v>11</v>
      </c>
    </row>
    <row r="61">
      <c r="A61" s="22" t="inlineStr">
        <is>
          <t>GEN-0008</t>
        </is>
      </c>
      <c r="B61" s="22" t="inlineStr">
        <is>
          <t>Hand Wash Soap 100 g</t>
        </is>
      </c>
      <c r="C61" s="22" t="inlineStr">
        <is>
          <t>General Items</t>
        </is>
      </c>
      <c r="D61" s="22" t="inlineStr">
        <is>
          <t>Piece</t>
        </is>
      </c>
      <c r="E61" s="23" t="n">
        <v>7344</v>
      </c>
      <c r="F61" s="23" t="n">
        <v>939954.48</v>
      </c>
      <c r="G61" s="23" t="n">
        <v>1097813.76</v>
      </c>
      <c r="H61" s="24" t="n">
        <v>0.86</v>
      </c>
      <c r="I61" s="31" t="n">
        <v>0.0036</v>
      </c>
      <c r="J61" s="31" t="n">
        <v>0.9523</v>
      </c>
      <c r="K61" s="25" t="n">
        <v>127.99</v>
      </c>
      <c r="L61" s="23" t="n">
        <v>11</v>
      </c>
    </row>
    <row r="62">
      <c r="A62" s="22" t="inlineStr">
        <is>
          <t>MED-0017</t>
        </is>
      </c>
      <c r="B62" s="22" t="inlineStr">
        <is>
          <t>Zinc Sulphate 20 mg Dispersible Tablet</t>
        </is>
      </c>
      <c r="C62" s="22" t="inlineStr">
        <is>
          <t>Medicines</t>
        </is>
      </c>
      <c r="D62" s="22" t="inlineStr">
        <is>
          <t>Tablet</t>
        </is>
      </c>
      <c r="E62" s="23" t="n">
        <v>268000</v>
      </c>
      <c r="F62" s="23" t="n">
        <v>909275</v>
      </c>
      <c r="G62" s="23" t="n">
        <v>1053420</v>
      </c>
      <c r="H62" s="24" t="n">
        <v>0.86</v>
      </c>
      <c r="I62" s="31" t="n">
        <v>0.0035</v>
      </c>
      <c r="J62" s="31" t="n">
        <v>0.9558</v>
      </c>
      <c r="K62" s="25" t="n">
        <v>3.39</v>
      </c>
      <c r="L62" s="23" t="n">
        <v>11</v>
      </c>
    </row>
    <row r="63">
      <c r="A63" s="22" t="inlineStr">
        <is>
          <t>CON-0012</t>
        </is>
      </c>
      <c r="B63" s="22" t="inlineStr">
        <is>
          <t>Alcohol Swab</t>
        </is>
      </c>
      <c r="C63" s="22" t="inlineStr">
        <is>
          <t>Medical Consumables</t>
        </is>
      </c>
      <c r="D63" s="22" t="inlineStr">
        <is>
          <t>Piece</t>
        </is>
      </c>
      <c r="E63" s="23" t="n">
        <v>341200</v>
      </c>
      <c r="F63" s="23" t="n">
        <v>893758</v>
      </c>
      <c r="G63" s="23" t="n">
        <v>1017197</v>
      </c>
      <c r="H63" s="24" t="n">
        <v>0.88</v>
      </c>
      <c r="I63" s="31" t="n">
        <v>0.0034</v>
      </c>
      <c r="J63" s="31" t="n">
        <v>0.9592000000000001</v>
      </c>
      <c r="K63" s="25" t="n">
        <v>2.62</v>
      </c>
      <c r="L63" s="23" t="n">
        <v>11</v>
      </c>
    </row>
    <row r="64">
      <c r="A64" s="22" t="inlineStr">
        <is>
          <t>MED-0018</t>
        </is>
      </c>
      <c r="B64" s="22" t="inlineStr">
        <is>
          <t>Vitamin A 200,000 IU Capsule</t>
        </is>
      </c>
      <c r="C64" s="22" t="inlineStr">
        <is>
          <t>Medicines</t>
        </is>
      </c>
      <c r="D64" s="22" t="inlineStr">
        <is>
          <t>Capsule</t>
        </is>
      </c>
      <c r="E64" s="23" t="n">
        <v>65500</v>
      </c>
      <c r="F64" s="23" t="n">
        <v>888548</v>
      </c>
      <c r="G64" s="23" t="n">
        <v>1038079</v>
      </c>
      <c r="H64" s="24" t="n">
        <v>0.86</v>
      </c>
      <c r="I64" s="31" t="n">
        <v>0.0034</v>
      </c>
      <c r="J64" s="31" t="n">
        <v>0.9627</v>
      </c>
      <c r="K64" s="25" t="n">
        <v>13.57</v>
      </c>
      <c r="L64" s="23" t="n">
        <v>11</v>
      </c>
    </row>
    <row r="65">
      <c r="A65" s="22" t="inlineStr">
        <is>
          <t>MED-0008</t>
        </is>
      </c>
      <c r="B65" s="22" t="inlineStr">
        <is>
          <t>Ibuprofen 400 mg Tablet</t>
        </is>
      </c>
      <c r="C65" s="22" t="inlineStr">
        <is>
          <t>Medicines</t>
        </is>
      </c>
      <c r="D65" s="22" t="inlineStr">
        <is>
          <t>Tablet</t>
        </is>
      </c>
      <c r="E65" s="23" t="n">
        <v>317000</v>
      </c>
      <c r="F65" s="23" t="n">
        <v>829570</v>
      </c>
      <c r="G65" s="23" t="n">
        <v>930670</v>
      </c>
      <c r="H65" s="24" t="n">
        <v>0.89</v>
      </c>
      <c r="I65" s="31" t="n">
        <v>0.0032</v>
      </c>
      <c r="J65" s="31" t="n">
        <v>0.9659</v>
      </c>
      <c r="K65" s="25" t="n">
        <v>2.62</v>
      </c>
      <c r="L65" s="23" t="n">
        <v>11</v>
      </c>
    </row>
    <row r="66">
      <c r="A66" s="22" t="inlineStr">
        <is>
          <t>MED-0020</t>
        </is>
      </c>
      <c r="B66" s="22" t="inlineStr">
        <is>
          <t>Isoniazid 300 mg Tablet</t>
        </is>
      </c>
      <c r="C66" s="22" t="inlineStr">
        <is>
          <t>Medicines</t>
        </is>
      </c>
      <c r="D66" s="22" t="inlineStr">
        <is>
          <t>Tablet</t>
        </is>
      </c>
      <c r="E66" s="23" t="n">
        <v>191000</v>
      </c>
      <c r="F66" s="23" t="n">
        <v>807080</v>
      </c>
      <c r="G66" s="23" t="n">
        <v>907760</v>
      </c>
      <c r="H66" s="24" t="n">
        <v>0.89</v>
      </c>
      <c r="I66" s="31" t="n">
        <v>0.0031</v>
      </c>
      <c r="J66" s="31" t="n">
        <v>0.969</v>
      </c>
      <c r="K66" s="25" t="n">
        <v>4.23</v>
      </c>
      <c r="L66" s="23" t="n">
        <v>11</v>
      </c>
    </row>
    <row r="67">
      <c r="A67" s="22" t="inlineStr">
        <is>
          <t>MED-0022</t>
        </is>
      </c>
      <c r="B67" s="22" t="inlineStr">
        <is>
          <t>Pyrazinamide 500 mg Tablet</t>
        </is>
      </c>
      <c r="C67" s="22" t="inlineStr">
        <is>
          <t>Medicines</t>
        </is>
      </c>
      <c r="D67" s="22" t="inlineStr">
        <is>
          <t>Tablet</t>
        </is>
      </c>
      <c r="E67" s="23" t="n">
        <v>89500</v>
      </c>
      <c r="F67" s="23" t="n">
        <v>785645</v>
      </c>
      <c r="G67" s="23" t="n">
        <v>887885</v>
      </c>
      <c r="H67" s="24" t="n">
        <v>0.88</v>
      </c>
      <c r="I67" s="31" t="n">
        <v>0.003</v>
      </c>
      <c r="J67" s="31" t="n">
        <v>0.972</v>
      </c>
      <c r="K67" s="25" t="n">
        <v>8.779999999999999</v>
      </c>
      <c r="L67" s="23" t="n">
        <v>11</v>
      </c>
    </row>
    <row r="68">
      <c r="A68" s="22" t="inlineStr">
        <is>
          <t>MED-0021</t>
        </is>
      </c>
      <c r="B68" s="22" t="inlineStr">
        <is>
          <t>Ethambutol 400 mg Tablet</t>
        </is>
      </c>
      <c r="C68" s="22" t="inlineStr">
        <is>
          <t>Medicines</t>
        </is>
      </c>
      <c r="D68" s="22" t="inlineStr">
        <is>
          <t>Tablet</t>
        </is>
      </c>
      <c r="E68" s="23" t="n">
        <v>92000</v>
      </c>
      <c r="F68" s="23" t="n">
        <v>747570</v>
      </c>
      <c r="G68" s="23" t="n">
        <v>818695</v>
      </c>
      <c r="H68" s="24" t="n">
        <v>0.91</v>
      </c>
      <c r="I68" s="31" t="n">
        <v>0.0029</v>
      </c>
      <c r="J68" s="31" t="n">
        <v>0.9749</v>
      </c>
      <c r="K68" s="25" t="n">
        <v>8.130000000000001</v>
      </c>
      <c r="L68" s="23" t="n">
        <v>11</v>
      </c>
    </row>
    <row r="69">
      <c r="A69" s="22" t="inlineStr">
        <is>
          <t>MED-0033</t>
        </is>
      </c>
      <c r="B69" s="22" t="inlineStr">
        <is>
          <t>Calcium Carbonate + Vitamin D3</t>
        </is>
      </c>
      <c r="C69" s="22" t="inlineStr">
        <is>
          <t>Medicines</t>
        </is>
      </c>
      <c r="D69" s="22" t="inlineStr">
        <is>
          <t>Tablet</t>
        </is>
      </c>
      <c r="E69" s="23" t="n">
        <v>106000</v>
      </c>
      <c r="F69" s="23" t="n">
        <v>717525</v>
      </c>
      <c r="G69" s="23" t="n">
        <v>819775</v>
      </c>
      <c r="H69" s="24" t="n">
        <v>0.88</v>
      </c>
      <c r="I69" s="31" t="n">
        <v>0.0028</v>
      </c>
      <c r="J69" s="31" t="n">
        <v>0.9776</v>
      </c>
      <c r="K69" s="25" t="n">
        <v>6.77</v>
      </c>
      <c r="L69" s="23" t="n">
        <v>11</v>
      </c>
    </row>
    <row r="70">
      <c r="A70" s="22" t="inlineStr">
        <is>
          <t>GEN-0004</t>
        </is>
      </c>
      <c r="B70" s="22" t="inlineStr">
        <is>
          <t>Registers &amp; Health Cards (Pack)</t>
        </is>
      </c>
      <c r="C70" s="22" t="inlineStr">
        <is>
          <t>General Items</t>
        </is>
      </c>
      <c r="D70" s="22" t="inlineStr">
        <is>
          <t>Pack</t>
        </is>
      </c>
      <c r="E70" s="23" t="n">
        <v>694</v>
      </c>
      <c r="F70" s="23" t="n">
        <v>673584.72</v>
      </c>
      <c r="G70" s="23" t="n">
        <v>709968.51</v>
      </c>
      <c r="H70" s="24" t="n">
        <v>0.95</v>
      </c>
      <c r="I70" s="31" t="n">
        <v>0.0026</v>
      </c>
      <c r="J70" s="31" t="n">
        <v>0.9802</v>
      </c>
      <c r="K70" s="25" t="n">
        <v>970.58</v>
      </c>
      <c r="L70" s="23" t="n">
        <v>11</v>
      </c>
    </row>
    <row r="71">
      <c r="A71" s="22" t="inlineStr">
        <is>
          <t>MED-0029</t>
        </is>
      </c>
      <c r="B71" s="22" t="inlineStr">
        <is>
          <t>Diclofenac 75 mg Injection</t>
        </is>
      </c>
      <c r="C71" s="22" t="inlineStr">
        <is>
          <t>Medicines</t>
        </is>
      </c>
      <c r="D71" s="22" t="inlineStr">
        <is>
          <t>Ampoule</t>
        </is>
      </c>
      <c r="E71" s="23" t="n">
        <v>21690</v>
      </c>
      <c r="F71" s="23" t="n">
        <v>673355</v>
      </c>
      <c r="G71" s="23" t="n">
        <v>839815.4</v>
      </c>
      <c r="H71" s="24" t="n">
        <v>0.8</v>
      </c>
      <c r="I71" s="31" t="n">
        <v>0.0026</v>
      </c>
      <c r="J71" s="31" t="n">
        <v>0.9828</v>
      </c>
      <c r="K71" s="25" t="n">
        <v>31.04</v>
      </c>
      <c r="L71" s="23" t="n">
        <v>11</v>
      </c>
    </row>
    <row r="72">
      <c r="A72" s="22" t="inlineStr">
        <is>
          <t>MED-0023</t>
        </is>
      </c>
      <c r="B72" s="22" t="inlineStr">
        <is>
          <t>Mebendazole 100 mg Tablet</t>
        </is>
      </c>
      <c r="C72" s="22" t="inlineStr">
        <is>
          <t>Medicines</t>
        </is>
      </c>
      <c r="D72" s="22" t="inlineStr">
        <is>
          <t>Tablet</t>
        </is>
      </c>
      <c r="E72" s="23" t="n">
        <v>218500</v>
      </c>
      <c r="F72" s="23" t="n">
        <v>620105</v>
      </c>
      <c r="G72" s="23" t="n">
        <v>731525</v>
      </c>
      <c r="H72" s="24" t="n">
        <v>0.85</v>
      </c>
      <c r="I72" s="31" t="n">
        <v>0.0024</v>
      </c>
      <c r="J72" s="31" t="n">
        <v>0.9852</v>
      </c>
      <c r="K72" s="25" t="n">
        <v>2.84</v>
      </c>
      <c r="L72" s="23" t="n">
        <v>11</v>
      </c>
    </row>
    <row r="73">
      <c r="A73" s="22" t="inlineStr">
        <is>
          <t>MED-0005</t>
        </is>
      </c>
      <c r="B73" s="22" t="inlineStr">
        <is>
          <t>Metronidazole 400 mg Tablet</t>
        </is>
      </c>
      <c r="C73" s="22" t="inlineStr">
        <is>
          <t>Medicines</t>
        </is>
      </c>
      <c r="D73" s="22" t="inlineStr">
        <is>
          <t>Tablet</t>
        </is>
      </c>
      <c r="E73" s="23" t="n">
        <v>270000</v>
      </c>
      <c r="F73" s="23" t="n">
        <v>614420</v>
      </c>
      <c r="G73" s="23" t="n">
        <v>659820</v>
      </c>
      <c r="H73" s="24" t="n">
        <v>0.93</v>
      </c>
      <c r="I73" s="31" t="n">
        <v>0.0024</v>
      </c>
      <c r="J73" s="31" t="n">
        <v>0.9876</v>
      </c>
      <c r="K73" s="25" t="n">
        <v>2.28</v>
      </c>
      <c r="L73" s="23" t="n">
        <v>11</v>
      </c>
    </row>
    <row r="74">
      <c r="A74" s="22" t="inlineStr">
        <is>
          <t>MED-0032</t>
        </is>
      </c>
      <c r="B74" s="22" t="inlineStr">
        <is>
          <t>Folic Acid 5 mg Tablet</t>
        </is>
      </c>
      <c r="C74" s="22" t="inlineStr">
        <is>
          <t>Medicines</t>
        </is>
      </c>
      <c r="D74" s="22" t="inlineStr">
        <is>
          <t>Tablet</t>
        </is>
      </c>
      <c r="E74" s="23" t="n">
        <v>509000</v>
      </c>
      <c r="F74" s="23" t="n">
        <v>590200</v>
      </c>
      <c r="G74" s="23" t="n">
        <v>630330</v>
      </c>
      <c r="H74" s="24" t="n">
        <v>0.9399999999999999</v>
      </c>
      <c r="I74" s="31" t="n">
        <v>0.0023</v>
      </c>
      <c r="J74" s="31" t="n">
        <v>0.9899</v>
      </c>
      <c r="K74" s="25" t="n">
        <v>1.16</v>
      </c>
      <c r="L74" s="23" t="n">
        <v>11</v>
      </c>
    </row>
    <row r="75">
      <c r="A75" s="22" t="inlineStr">
        <is>
          <t>MED-0014</t>
        </is>
      </c>
      <c r="B75" s="22" t="inlineStr">
        <is>
          <t>Oxytocin 10 IU Injection</t>
        </is>
      </c>
      <c r="C75" s="22" t="inlineStr">
        <is>
          <t>Medicines</t>
        </is>
      </c>
      <c r="D75" s="22" t="inlineStr">
        <is>
          <t>Ampoule</t>
        </is>
      </c>
      <c r="E75" s="23" t="n">
        <v>10950</v>
      </c>
      <c r="F75" s="23" t="n">
        <v>413951</v>
      </c>
      <c r="G75" s="23" t="n">
        <v>478629.4</v>
      </c>
      <c r="H75" s="24" t="n">
        <v>0.86</v>
      </c>
      <c r="I75" s="31" t="n">
        <v>0.0016</v>
      </c>
      <c r="J75" s="31" t="n">
        <v>0.9915</v>
      </c>
      <c r="K75" s="25" t="n">
        <v>37.8</v>
      </c>
      <c r="L75" s="23" t="n">
        <v>11</v>
      </c>
    </row>
    <row r="76">
      <c r="A76" s="22" t="inlineStr">
        <is>
          <t>MED-0027</t>
        </is>
      </c>
      <c r="B76" s="22" t="inlineStr">
        <is>
          <t>Adrenaline 1 mg/ml Injection</t>
        </is>
      </c>
      <c r="C76" s="22" t="inlineStr">
        <is>
          <t>Medicines</t>
        </is>
      </c>
      <c r="D76" s="22" t="inlineStr">
        <is>
          <t>Ampoule</t>
        </is>
      </c>
      <c r="E76" s="23" t="n">
        <v>5210</v>
      </c>
      <c r="F76" s="23" t="n">
        <v>384595.3</v>
      </c>
      <c r="G76" s="23" t="n">
        <v>428995.3</v>
      </c>
      <c r="H76" s="24" t="n">
        <v>0.9</v>
      </c>
      <c r="I76" s="31" t="n">
        <v>0.0015</v>
      </c>
      <c r="J76" s="31" t="n">
        <v>0.9929</v>
      </c>
      <c r="K76" s="25" t="n">
        <v>73.81999999999999</v>
      </c>
      <c r="L76" s="23" t="n">
        <v>11</v>
      </c>
    </row>
    <row r="77">
      <c r="A77" s="22" t="inlineStr">
        <is>
          <t>MED-0006</t>
        </is>
      </c>
      <c r="B77" s="22" t="inlineStr">
        <is>
          <t>Ciprofloxacin 500 mg Tablet</t>
        </is>
      </c>
      <c r="C77" s="22" t="inlineStr">
        <is>
          <t>Medicines</t>
        </is>
      </c>
      <c r="D77" s="22" t="inlineStr">
        <is>
          <t>Tablet</t>
        </is>
      </c>
      <c r="E77" s="23" t="n">
        <v>49600</v>
      </c>
      <c r="F77" s="23" t="n">
        <v>367250</v>
      </c>
      <c r="G77" s="23" t="n">
        <v>426414</v>
      </c>
      <c r="H77" s="24" t="n">
        <v>0.86</v>
      </c>
      <c r="I77" s="31" t="n">
        <v>0.0014</v>
      </c>
      <c r="J77" s="31" t="n">
        <v>0.9944</v>
      </c>
      <c r="K77" s="25" t="n">
        <v>7.4</v>
      </c>
      <c r="L77" s="23" t="n">
        <v>11</v>
      </c>
    </row>
    <row r="78">
      <c r="A78" s="22" t="inlineStr">
        <is>
          <t>MED-0026</t>
        </is>
      </c>
      <c r="B78" s="22" t="inlineStr">
        <is>
          <t>Hydrocortisone 100 mg Injection</t>
        </is>
      </c>
      <c r="C78" s="22" t="inlineStr">
        <is>
          <t>Medicines</t>
        </is>
      </c>
      <c r="D78" s="22" t="inlineStr">
        <is>
          <t>Vial</t>
        </is>
      </c>
      <c r="E78" s="23" t="n">
        <v>6413</v>
      </c>
      <c r="F78" s="23" t="n">
        <v>361855.09</v>
      </c>
      <c r="G78" s="23" t="n">
        <v>414673.59</v>
      </c>
      <c r="H78" s="24" t="n">
        <v>0.87</v>
      </c>
      <c r="I78" s="31" t="n">
        <v>0.0014</v>
      </c>
      <c r="J78" s="31" t="n">
        <v>0.9958</v>
      </c>
      <c r="K78" s="25" t="n">
        <v>56.43</v>
      </c>
      <c r="L78" s="23" t="n">
        <v>11</v>
      </c>
    </row>
    <row r="79">
      <c r="A79" s="22" t="inlineStr">
        <is>
          <t>MED-0013</t>
        </is>
      </c>
      <c r="B79" s="22" t="inlineStr">
        <is>
          <t>Misoprostol 200 mcg Tablet</t>
        </is>
      </c>
      <c r="C79" s="22" t="inlineStr">
        <is>
          <t>Medicines</t>
        </is>
      </c>
      <c r="D79" s="22" t="inlineStr">
        <is>
          <t>Tablet</t>
        </is>
      </c>
      <c r="E79" s="23" t="n">
        <v>11400</v>
      </c>
      <c r="F79" s="23" t="n">
        <v>321475.8</v>
      </c>
      <c r="G79" s="23" t="n">
        <v>364129.2</v>
      </c>
      <c r="H79" s="24" t="n">
        <v>0.88</v>
      </c>
      <c r="I79" s="31" t="n">
        <v>0.0012</v>
      </c>
      <c r="J79" s="31" t="n">
        <v>0.997</v>
      </c>
      <c r="K79" s="25" t="n">
        <v>28.2</v>
      </c>
      <c r="L79" s="23" t="n">
        <v>11</v>
      </c>
    </row>
    <row r="80">
      <c r="A80" s="22" t="inlineStr">
        <is>
          <t>LAB-0007</t>
        </is>
      </c>
      <c r="B80" s="22" t="inlineStr">
        <is>
          <t>Microscope Slide, Frosted</t>
        </is>
      </c>
      <c r="C80" s="22" t="inlineStr">
        <is>
          <t>Laboratory</t>
        </is>
      </c>
      <c r="D80" s="22" t="inlineStr">
        <is>
          <t>Piece</t>
        </is>
      </c>
      <c r="E80" s="23" t="n">
        <v>43550</v>
      </c>
      <c r="F80" s="23" t="n">
        <v>264111</v>
      </c>
      <c r="G80" s="23" t="n">
        <v>307049.5</v>
      </c>
      <c r="H80" s="24" t="n">
        <v>0.86</v>
      </c>
      <c r="I80" s="31" t="n">
        <v>0.001</v>
      </c>
      <c r="J80" s="31" t="n">
        <v>0.998</v>
      </c>
      <c r="K80" s="25" t="n">
        <v>6.06</v>
      </c>
      <c r="L80" s="23" t="n">
        <v>11</v>
      </c>
    </row>
    <row r="81">
      <c r="A81" s="22" t="inlineStr">
        <is>
          <t>MED-0015</t>
        </is>
      </c>
      <c r="B81" s="22" t="inlineStr">
        <is>
          <t>Magnesium Sulphate 50% 10 ml</t>
        </is>
      </c>
      <c r="C81" s="22" t="inlineStr">
        <is>
          <t>Medicines</t>
        </is>
      </c>
      <c r="D81" s="22" t="inlineStr">
        <is>
          <t>Ampoule</t>
        </is>
      </c>
      <c r="E81" s="23" t="n">
        <v>5310</v>
      </c>
      <c r="F81" s="23" t="n">
        <v>238755.8</v>
      </c>
      <c r="G81" s="23" t="n">
        <v>278030.8</v>
      </c>
      <c r="H81" s="24" t="n">
        <v>0.86</v>
      </c>
      <c r="I81" s="31" t="n">
        <v>0.0009</v>
      </c>
      <c r="J81" s="31" t="n">
        <v>0.9989</v>
      </c>
      <c r="K81" s="25" t="n">
        <v>44.96</v>
      </c>
      <c r="L81" s="23" t="n">
        <v>11</v>
      </c>
    </row>
    <row r="82">
      <c r="A82" s="22" t="inlineStr">
        <is>
          <t>MED-0028</t>
        </is>
      </c>
      <c r="B82" s="22" t="inlineStr">
        <is>
          <t>Atropine 0.6 mg/ml Injection</t>
        </is>
      </c>
      <c r="C82" s="22" t="inlineStr">
        <is>
          <t>Medicines</t>
        </is>
      </c>
      <c r="D82" s="22" t="inlineStr">
        <is>
          <t>Ampoule</t>
        </is>
      </c>
      <c r="E82" s="23" t="n">
        <v>4400</v>
      </c>
      <c r="F82" s="23" t="n">
        <v>187538.3</v>
      </c>
      <c r="G82" s="23" t="n">
        <v>205575.1</v>
      </c>
      <c r="H82" s="24" t="n">
        <v>0.91</v>
      </c>
      <c r="I82" s="31" t="n">
        <v>0.0007</v>
      </c>
      <c r="J82" s="31" t="n">
        <v>0.9997</v>
      </c>
      <c r="K82" s="25" t="n">
        <v>42.62</v>
      </c>
      <c r="L82" s="23" t="n">
        <v>11</v>
      </c>
    </row>
    <row r="83">
      <c r="A83" s="22" t="inlineStr">
        <is>
          <t>EQP-0009</t>
        </is>
      </c>
      <c r="B83" s="22" t="inlineStr">
        <is>
          <t>Examination Couch, Folding</t>
        </is>
      </c>
      <c r="C83" s="22" t="inlineStr">
        <is>
          <t>Equipment</t>
        </is>
      </c>
      <c r="D83" s="22" t="inlineStr">
        <is>
          <t>Unit</t>
        </is>
      </c>
      <c r="E83" s="23" t="n">
        <v>1</v>
      </c>
      <c r="F83" s="23" t="n">
        <v>33911.87</v>
      </c>
      <c r="G83" s="23" t="n">
        <v>35081.64</v>
      </c>
      <c r="H83" s="24" t="n">
        <v>0.97</v>
      </c>
      <c r="I83" s="31" t="n">
        <v>0.0001</v>
      </c>
      <c r="J83" s="31" t="n">
        <v>0.9998</v>
      </c>
      <c r="K83" s="25" t="n">
        <v>33911.87</v>
      </c>
      <c r="L83" s="23" t="n">
        <v>1</v>
      </c>
    </row>
    <row r="84">
      <c r="A84" s="22" t="inlineStr">
        <is>
          <t>EQP-0001</t>
        </is>
      </c>
      <c r="B84" s="22" t="inlineStr">
        <is>
          <t>Digital Weighing Scale, Infant</t>
        </is>
      </c>
      <c r="C84" s="22" t="inlineStr">
        <is>
          <t>Equipment</t>
        </is>
      </c>
      <c r="D84" s="22" t="inlineStr">
        <is>
          <t>Unit</t>
        </is>
      </c>
      <c r="E84" s="23" t="n">
        <v>1</v>
      </c>
      <c r="F84" s="23" t="n">
        <v>18452.05</v>
      </c>
      <c r="G84" s="23" t="n">
        <v>0</v>
      </c>
      <c r="H84" s="24" t="n"/>
      <c r="I84" s="31" t="n">
        <v>0.0001</v>
      </c>
      <c r="J84" s="31" t="n">
        <v>0.9999</v>
      </c>
      <c r="K84" s="25" t="n">
        <v>18452.05</v>
      </c>
      <c r="L84" s="23" t="n">
        <v>1</v>
      </c>
    </row>
    <row r="85">
      <c r="A85" s="22" t="inlineStr">
        <is>
          <t>EQP-0008</t>
        </is>
      </c>
      <c r="B85" s="22" t="inlineStr">
        <is>
          <t>Nebuliser Machine</t>
        </is>
      </c>
      <c r="C85" s="22" t="inlineStr">
        <is>
          <t>Equipment</t>
        </is>
      </c>
      <c r="D85" s="22" t="inlineStr">
        <is>
          <t>Unit</t>
        </is>
      </c>
      <c r="E85" s="23" t="n">
        <v>1</v>
      </c>
      <c r="F85" s="23" t="n">
        <v>14462.42</v>
      </c>
      <c r="G85" s="23" t="n">
        <v>0</v>
      </c>
      <c r="H85" s="24" t="n"/>
      <c r="I85" s="31" t="n">
        <v>0.0001</v>
      </c>
      <c r="J85" s="31" t="n">
        <v>0.9999</v>
      </c>
      <c r="K85" s="25" t="n">
        <v>14462.42</v>
      </c>
      <c r="L85" s="23" t="n">
        <v>1</v>
      </c>
    </row>
    <row r="86">
      <c r="A86" s="22" t="inlineStr">
        <is>
          <t>EQP-0010</t>
        </is>
      </c>
      <c r="B86" s="22" t="inlineStr">
        <is>
          <t>Cold Box, Vaccine Carrier 5 L</t>
        </is>
      </c>
      <c r="C86" s="22" t="inlineStr">
        <is>
          <t>Equipment</t>
        </is>
      </c>
      <c r="D86" s="22" t="inlineStr">
        <is>
          <t>Unit</t>
        </is>
      </c>
      <c r="E86" s="23" t="n">
        <v>1</v>
      </c>
      <c r="F86" s="23" t="n">
        <v>12766.82</v>
      </c>
      <c r="G86" s="23" t="n">
        <v>12446.64</v>
      </c>
      <c r="H86" s="24" t="n">
        <v>1.03</v>
      </c>
      <c r="I86" s="31" t="n">
        <v>0</v>
      </c>
      <c r="J86" s="31" t="n">
        <v>1</v>
      </c>
      <c r="K86" s="25" t="n">
        <v>12766.82</v>
      </c>
      <c r="L86" s="23" t="n">
        <v>1</v>
      </c>
    </row>
    <row r="87">
      <c r="A87" s="22" t="inlineStr">
        <is>
          <t>EQP-0007</t>
        </is>
      </c>
      <c r="B87" s="22" t="inlineStr">
        <is>
          <t>Pulse Oximeter, Fingertip</t>
        </is>
      </c>
      <c r="C87" s="22" t="inlineStr">
        <is>
          <t>Equipment</t>
        </is>
      </c>
      <c r="D87" s="22" t="inlineStr">
        <is>
          <t>Unit</t>
        </is>
      </c>
      <c r="E87" s="23" t="n">
        <v>1</v>
      </c>
      <c r="F87" s="23" t="n">
        <v>6782.37</v>
      </c>
      <c r="G87" s="23" t="n">
        <v>7647.08</v>
      </c>
      <c r="H87" s="24" t="n">
        <v>0.89</v>
      </c>
      <c r="I87" s="31" t="n">
        <v>0</v>
      </c>
      <c r="J87" s="31" t="n">
        <v>1</v>
      </c>
      <c r="K87" s="25" t="n">
        <v>6782.37</v>
      </c>
      <c r="L87" s="23" t="n">
        <v>1</v>
      </c>
    </row>
    <row r="88">
      <c r="A88" s="22" t="inlineStr">
        <is>
          <t>EQP-0006</t>
        </is>
      </c>
      <c r="B88" s="22" t="inlineStr">
        <is>
          <t>Digital Thermometer</t>
        </is>
      </c>
      <c r="C88" s="22" t="inlineStr">
        <is>
          <t>Equipment</t>
        </is>
      </c>
      <c r="D88" s="22" t="inlineStr">
        <is>
          <t>Unit</t>
        </is>
      </c>
      <c r="E88" s="23" t="n">
        <v>3</v>
      </c>
      <c r="F88" s="23" t="n">
        <v>4338.72</v>
      </c>
      <c r="G88" s="23" t="n">
        <v>6360.85</v>
      </c>
      <c r="H88" s="24" t="n">
        <v>0.68</v>
      </c>
      <c r="I88" s="31" t="n">
        <v>0</v>
      </c>
      <c r="J88" s="31" t="n">
        <v>1</v>
      </c>
      <c r="K88" s="25" t="n">
        <v>1446.24</v>
      </c>
      <c r="L88" s="23" t="n">
        <v>3</v>
      </c>
    </row>
    <row r="89">
      <c r="A89" s="26" t="inlineStr"/>
      <c r="B89" s="26" t="inlineStr">
        <is>
          <t>TOTAL</t>
        </is>
      </c>
      <c r="C89" s="26" t="inlineStr"/>
      <c r="D89" s="26" t="inlineStr"/>
      <c r="E89" s="27" t="n">
        <v>8383950</v>
      </c>
      <c r="F89" s="27" t="n">
        <v>259518399.91</v>
      </c>
      <c r="G89" s="27" t="n">
        <v>301271940.73</v>
      </c>
      <c r="H89" s="28" t="n">
        <v>0.86</v>
      </c>
      <c r="I89" s="32" t="n">
        <v>1</v>
      </c>
      <c r="J89" s="26" t="inlineStr"/>
      <c r="K89" s="26" t="inlineStr"/>
      <c r="L89" s="26" t="inlineStr"/>
    </row>
  </sheetData>
  <mergeCells count="1">
    <mergeCell ref="A2:L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C78A8"/>
    <outlinePr summaryBelow="1" summaryRight="1"/>
    <pageSetUpPr/>
  </sheetPr>
  <dimension ref="A1:AC20"/>
  <sheetViews>
    <sheetView showGridLines="0" zoomScale="9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5" customWidth="1" min="29" max="29"/>
  </cols>
  <sheetData>
    <row r="1">
      <c r="A1" s="1" t="inlineStr">
        <is>
          <t>Top 15 Products – Monthly Consumption Value</t>
        </is>
      </c>
    </row>
    <row r="2">
      <c r="A2" s="2" t="inlineStr">
        <is>
          <t>Month-wise value in PKR for the fifteen highest-value products; a heat map would be applied on the Power BI page.</t>
        </is>
      </c>
    </row>
    <row r="3" ht="6" customHeight="1"/>
    <row r="5" ht="34" customHeight="1">
      <c r="A5" s="11" t="inlineStr">
        <is>
          <t>Item description</t>
        </is>
      </c>
      <c r="B5" s="11" t="inlineStr">
        <is>
          <t>Jul-24</t>
        </is>
      </c>
      <c r="C5" s="11" t="inlineStr">
        <is>
          <t>Aug-24</t>
        </is>
      </c>
      <c r="D5" s="11" t="inlineStr">
        <is>
          <t>Sep-24</t>
        </is>
      </c>
      <c r="E5" s="11" t="inlineStr">
        <is>
          <t>Oct-24</t>
        </is>
      </c>
      <c r="F5" s="11" t="inlineStr">
        <is>
          <t>Nov-24</t>
        </is>
      </c>
      <c r="G5" s="11" t="inlineStr">
        <is>
          <t>Dec-24</t>
        </is>
      </c>
      <c r="H5" s="11" t="inlineStr">
        <is>
          <t>Jan-25</t>
        </is>
      </c>
      <c r="I5" s="11" t="inlineStr">
        <is>
          <t>Feb-25</t>
        </is>
      </c>
      <c r="J5" s="11" t="inlineStr">
        <is>
          <t>Mar-25</t>
        </is>
      </c>
      <c r="K5" s="11" t="inlineStr">
        <is>
          <t>Apr-25</t>
        </is>
      </c>
      <c r="L5" s="11" t="inlineStr">
        <is>
          <t>May-25</t>
        </is>
      </c>
      <c r="M5" s="11" t="inlineStr">
        <is>
          <t>Jun-25</t>
        </is>
      </c>
      <c r="N5" s="11" t="inlineStr">
        <is>
          <t>Jul-25</t>
        </is>
      </c>
      <c r="O5" s="11" t="inlineStr">
        <is>
          <t>Aug-25</t>
        </is>
      </c>
      <c r="P5" s="11" t="inlineStr">
        <is>
          <t>Sep-25</t>
        </is>
      </c>
      <c r="Q5" s="11" t="inlineStr">
        <is>
          <t>Oct-25</t>
        </is>
      </c>
      <c r="R5" s="11" t="inlineStr">
        <is>
          <t>Nov-25</t>
        </is>
      </c>
      <c r="S5" s="11" t="inlineStr">
        <is>
          <t>Dec-25</t>
        </is>
      </c>
      <c r="T5" s="11" t="inlineStr">
        <is>
          <t>Jan-26</t>
        </is>
      </c>
      <c r="U5" s="11" t="inlineStr">
        <is>
          <t>Feb-26</t>
        </is>
      </c>
      <c r="V5" s="11" t="inlineStr">
        <is>
          <t>Mar-26</t>
        </is>
      </c>
      <c r="W5" s="11" t="inlineStr">
        <is>
          <t>Apr-26</t>
        </is>
      </c>
      <c r="X5" s="11" t="inlineStr">
        <is>
          <t>May-26</t>
        </is>
      </c>
      <c r="Y5" s="11" t="inlineStr">
        <is>
          <t>Jun-26</t>
        </is>
      </c>
      <c r="Z5" s="11" t="inlineStr">
        <is>
          <t>Jul-26</t>
        </is>
      </c>
      <c r="AA5" s="11" t="inlineStr">
        <is>
          <t>Aug-26</t>
        </is>
      </c>
      <c r="AB5" s="11" t="inlineStr">
        <is>
          <t>Sep-26</t>
        </is>
      </c>
      <c r="AC5" s="11" t="inlineStr">
        <is>
          <t>Total</t>
        </is>
      </c>
    </row>
    <row r="6">
      <c r="A6" s="22" t="inlineStr">
        <is>
          <t>RUTF Plumpy'Nut 92 g Sachet</t>
        </is>
      </c>
      <c r="B6" s="23" t="n">
        <v>203185.5</v>
      </c>
      <c r="C6" s="23" t="n">
        <v>821022</v>
      </c>
      <c r="D6" s="23" t="n">
        <v>833895</v>
      </c>
      <c r="E6" s="23" t="n">
        <v>869901</v>
      </c>
      <c r="F6" s="23" t="n">
        <v>653073</v>
      </c>
      <c r="G6" s="23" t="n">
        <v>810987</v>
      </c>
      <c r="H6" s="23" t="n">
        <v>946555.5</v>
      </c>
      <c r="I6" s="23" t="n">
        <v>914334</v>
      </c>
      <c r="J6" s="23" t="n">
        <v>867516</v>
      </c>
      <c r="K6" s="23" t="n">
        <v>653184</v>
      </c>
      <c r="L6" s="23" t="n">
        <v>737935.5</v>
      </c>
      <c r="M6" s="23" t="n">
        <v>342568.5</v>
      </c>
      <c r="N6" s="23" t="n">
        <v>715281</v>
      </c>
      <c r="O6" s="23" t="n">
        <v>845289</v>
      </c>
      <c r="P6" s="23" t="n">
        <v>1308520.5</v>
      </c>
      <c r="Q6" s="23" t="n">
        <v>1067299.5</v>
      </c>
      <c r="R6" s="23" t="n">
        <v>884311.5</v>
      </c>
      <c r="S6" s="23" t="n">
        <v>793527</v>
      </c>
      <c r="T6" s="23" t="n">
        <v>1086487.5</v>
      </c>
      <c r="U6" s="23" t="n">
        <v>1079268</v>
      </c>
      <c r="V6" s="23" t="n">
        <v>842329.5</v>
      </c>
      <c r="W6" s="23" t="n">
        <v>661036.5</v>
      </c>
      <c r="X6" s="23" t="n">
        <v>618013.5</v>
      </c>
      <c r="Y6" s="23" t="n">
        <v>502081.5</v>
      </c>
      <c r="Z6" s="23" t="n">
        <v>996618</v>
      </c>
      <c r="AA6" s="23" t="n">
        <v>849589.5</v>
      </c>
      <c r="AB6" s="23" t="n">
        <v>1330437</v>
      </c>
      <c r="AC6" s="23" t="n">
        <v>22234246.5</v>
      </c>
    </row>
    <row r="7">
      <c r="A7" s="22" t="inlineStr">
        <is>
          <t>Deferasirox 500 mg Tablet</t>
        </is>
      </c>
      <c r="B7" s="23" t="n">
        <v>259608</v>
      </c>
      <c r="C7" s="23" t="n">
        <v>483001.2</v>
      </c>
      <c r="D7" s="23" t="n">
        <v>700752.3</v>
      </c>
      <c r="E7" s="23" t="n">
        <v>707655.3</v>
      </c>
      <c r="F7" s="23" t="n">
        <v>398798.4</v>
      </c>
      <c r="G7" s="23" t="n">
        <v>567773.4</v>
      </c>
      <c r="H7" s="23" t="n">
        <v>808091.7</v>
      </c>
      <c r="I7" s="23" t="n">
        <v>849545.4</v>
      </c>
      <c r="J7" s="23" t="n">
        <v>587208.3</v>
      </c>
      <c r="K7" s="23" t="n">
        <v>727943.7</v>
      </c>
      <c r="L7" s="23" t="n">
        <v>608831.4</v>
      </c>
      <c r="M7" s="23" t="n">
        <v>625340.1</v>
      </c>
      <c r="N7" s="23" t="n">
        <v>716834.7</v>
      </c>
      <c r="O7" s="23" t="n">
        <v>1150653.6</v>
      </c>
      <c r="P7" s="23" t="n">
        <v>1188955.2</v>
      </c>
      <c r="Q7" s="23" t="n">
        <v>949860</v>
      </c>
      <c r="R7" s="23" t="n">
        <v>435719.4</v>
      </c>
      <c r="S7" s="23" t="n">
        <v>726590.1</v>
      </c>
      <c r="T7" s="23" t="n">
        <v>859296.3</v>
      </c>
      <c r="U7" s="23" t="n">
        <v>477743.1</v>
      </c>
      <c r="V7" s="23" t="n">
        <v>539843.7</v>
      </c>
      <c r="W7" s="23" t="n">
        <v>499415.7</v>
      </c>
      <c r="X7" s="23" t="n">
        <v>647787.3</v>
      </c>
      <c r="Y7" s="23" t="n">
        <v>797350.2</v>
      </c>
      <c r="Z7" s="23" t="n">
        <v>828003.9</v>
      </c>
      <c r="AA7" s="23" t="n">
        <v>814327.5</v>
      </c>
      <c r="AB7" s="23" t="n">
        <v>714413.7</v>
      </c>
      <c r="AC7" s="23" t="n">
        <v>18671343.6</v>
      </c>
    </row>
    <row r="8">
      <c r="A8" s="22" t="inlineStr">
        <is>
          <t>ORS Sachet (Low Osmolarity)</t>
        </is>
      </c>
      <c r="B8" s="23" t="n">
        <v>234296</v>
      </c>
      <c r="C8" s="23" t="n">
        <v>474940</v>
      </c>
      <c r="D8" s="23" t="n">
        <v>305118</v>
      </c>
      <c r="E8" s="23" t="n">
        <v>439695</v>
      </c>
      <c r="F8" s="23" t="n">
        <v>397201</v>
      </c>
      <c r="G8" s="23" t="n">
        <v>412267</v>
      </c>
      <c r="H8" s="23" t="n">
        <v>522623</v>
      </c>
      <c r="I8" s="23" t="n">
        <v>521360</v>
      </c>
      <c r="J8" s="23" t="n">
        <v>264143</v>
      </c>
      <c r="K8" s="23" t="n">
        <v>408038</v>
      </c>
      <c r="L8" s="23" t="n">
        <v>324028</v>
      </c>
      <c r="M8" s="23" t="n">
        <v>473615</v>
      </c>
      <c r="N8" s="23" t="n">
        <v>391459</v>
      </c>
      <c r="O8" s="23" t="n">
        <v>776827</v>
      </c>
      <c r="P8" s="23" t="n">
        <v>667905</v>
      </c>
      <c r="Q8" s="23" t="n">
        <v>499551</v>
      </c>
      <c r="R8" s="23" t="n">
        <v>428192</v>
      </c>
      <c r="S8" s="23" t="n">
        <v>598424</v>
      </c>
      <c r="T8" s="23" t="n">
        <v>496198</v>
      </c>
      <c r="U8" s="23" t="n">
        <v>587833</v>
      </c>
      <c r="V8" s="23" t="n">
        <v>277561</v>
      </c>
      <c r="W8" s="23" t="n">
        <v>343631</v>
      </c>
      <c r="X8" s="23" t="n">
        <v>384053</v>
      </c>
      <c r="Y8" s="23" t="n">
        <v>347049</v>
      </c>
      <c r="Z8" s="23" t="n">
        <v>504963</v>
      </c>
      <c r="AA8" s="23" t="n">
        <v>516695</v>
      </c>
      <c r="AB8" s="23" t="n">
        <v>513572</v>
      </c>
      <c r="AC8" s="23" t="n">
        <v>12111237</v>
      </c>
    </row>
    <row r="9">
      <c r="A9" s="22" t="inlineStr">
        <is>
          <t>F-100 Therapeutic Milk 400 g</t>
        </is>
      </c>
      <c r="B9" s="23" t="n">
        <v>330125.04</v>
      </c>
      <c r="C9" s="23" t="n">
        <v>208741.92</v>
      </c>
      <c r="D9" s="23" t="n">
        <v>320439.12</v>
      </c>
      <c r="E9" s="23" t="n">
        <v>369090.48</v>
      </c>
      <c r="F9" s="23" t="n">
        <v>189095.76</v>
      </c>
      <c r="G9" s="23" t="n">
        <v>389947.2</v>
      </c>
      <c r="H9" s="23" t="n">
        <v>463147.92</v>
      </c>
      <c r="I9" s="23" t="n">
        <v>505895.28</v>
      </c>
      <c r="J9" s="23" t="n">
        <v>385770.96</v>
      </c>
      <c r="K9" s="23" t="n">
        <v>366558</v>
      </c>
      <c r="L9" s="23" t="n">
        <v>323370.96</v>
      </c>
      <c r="M9" s="23" t="n">
        <v>483285.84</v>
      </c>
      <c r="N9" s="23" t="n">
        <v>406428</v>
      </c>
      <c r="O9" s="23" t="n">
        <v>593912.4</v>
      </c>
      <c r="P9" s="23" t="n">
        <v>734641.4399999999</v>
      </c>
      <c r="Q9" s="23" t="n">
        <v>475151.52</v>
      </c>
      <c r="R9" s="23" t="n">
        <v>315205.92</v>
      </c>
      <c r="S9" s="23" t="n">
        <v>470067.36</v>
      </c>
      <c r="T9" s="23" t="n">
        <v>503411.04</v>
      </c>
      <c r="U9" s="23" t="n">
        <v>367127.52</v>
      </c>
      <c r="V9" s="23" t="n">
        <v>204032.88</v>
      </c>
      <c r="W9" s="23" t="n">
        <v>435673.92</v>
      </c>
      <c r="X9" s="23" t="n">
        <v>445516.8</v>
      </c>
      <c r="Y9" s="23" t="n">
        <v>379873.2</v>
      </c>
      <c r="Z9" s="23" t="n">
        <v>562769.76</v>
      </c>
      <c r="AA9" s="23" t="n">
        <v>508688.88</v>
      </c>
      <c r="AB9" s="23" t="n">
        <v>580630.8</v>
      </c>
      <c r="AC9" s="23" t="n">
        <v>11318599.92</v>
      </c>
    </row>
    <row r="10">
      <c r="A10" s="22" t="inlineStr">
        <is>
          <t>Disposable Syringe 5 ml with Needle</t>
        </is>
      </c>
      <c r="B10" s="23" t="n">
        <v>308096</v>
      </c>
      <c r="C10" s="23" t="n">
        <v>333674</v>
      </c>
      <c r="D10" s="23" t="n">
        <v>234873</v>
      </c>
      <c r="E10" s="23" t="n">
        <v>256882</v>
      </c>
      <c r="F10" s="23" t="n">
        <v>162563</v>
      </c>
      <c r="G10" s="23" t="n">
        <v>320602</v>
      </c>
      <c r="H10" s="23" t="n">
        <v>450215</v>
      </c>
      <c r="I10" s="23" t="n">
        <v>479334</v>
      </c>
      <c r="J10" s="23" t="n">
        <v>329606</v>
      </c>
      <c r="K10" s="23" t="n">
        <v>268717</v>
      </c>
      <c r="L10" s="23" t="n">
        <v>171003</v>
      </c>
      <c r="M10" s="23" t="n">
        <v>382346</v>
      </c>
      <c r="N10" s="23" t="n">
        <v>504178</v>
      </c>
      <c r="O10" s="23" t="n">
        <v>717398</v>
      </c>
      <c r="P10" s="23" t="n">
        <v>555579</v>
      </c>
      <c r="Q10" s="23" t="n">
        <v>389866</v>
      </c>
      <c r="R10" s="23" t="n">
        <v>353208</v>
      </c>
      <c r="S10" s="23" t="n">
        <v>447582</v>
      </c>
      <c r="T10" s="23" t="n">
        <v>369123</v>
      </c>
      <c r="U10" s="23" t="n">
        <v>505421</v>
      </c>
      <c r="V10" s="23" t="n">
        <v>268121</v>
      </c>
      <c r="W10" s="23" t="n">
        <v>339974</v>
      </c>
      <c r="X10" s="23" t="n">
        <v>390782</v>
      </c>
      <c r="Y10" s="23" t="n">
        <v>354373</v>
      </c>
      <c r="Z10" s="23" t="n">
        <v>590064</v>
      </c>
      <c r="AA10" s="23" t="n">
        <v>507576</v>
      </c>
      <c r="AB10" s="23" t="n">
        <v>434905</v>
      </c>
      <c r="AC10" s="23" t="n">
        <v>10426061</v>
      </c>
    </row>
    <row r="11">
      <c r="A11" s="22" t="inlineStr">
        <is>
          <t>F-75 Therapeutic Milk 400 g</t>
        </is>
      </c>
      <c r="B11" s="23" t="n">
        <v>290804.16</v>
      </c>
      <c r="C11" s="23" t="n">
        <v>193489.2</v>
      </c>
      <c r="D11" s="23" t="n">
        <v>417372.48</v>
      </c>
      <c r="E11" s="23" t="n">
        <v>303828</v>
      </c>
      <c r="F11" s="23" t="n">
        <v>375915.84</v>
      </c>
      <c r="G11" s="23" t="n">
        <v>186749.52</v>
      </c>
      <c r="H11" s="23" t="n">
        <v>507982.32</v>
      </c>
      <c r="I11" s="23" t="n">
        <v>295405.2</v>
      </c>
      <c r="J11" s="23" t="n">
        <v>376204.08</v>
      </c>
      <c r="K11" s="23" t="n">
        <v>363281.76</v>
      </c>
      <c r="L11" s="23" t="n">
        <v>297567.6</v>
      </c>
      <c r="M11" s="23" t="n">
        <v>209814.72</v>
      </c>
      <c r="N11" s="23" t="n">
        <v>399497.52</v>
      </c>
      <c r="O11" s="23" t="n">
        <v>642904.08</v>
      </c>
      <c r="P11" s="23" t="n">
        <v>465450.96</v>
      </c>
      <c r="Q11" s="23" t="n">
        <v>427103.52</v>
      </c>
      <c r="R11" s="23" t="n">
        <v>298947.6</v>
      </c>
      <c r="S11" s="23" t="n">
        <v>373473.6</v>
      </c>
      <c r="T11" s="23" t="n">
        <v>361008.96</v>
      </c>
      <c r="U11" s="23" t="n">
        <v>487457.76</v>
      </c>
      <c r="V11" s="23" t="n">
        <v>243470.16</v>
      </c>
      <c r="W11" s="23" t="n">
        <v>361755.84</v>
      </c>
      <c r="X11" s="23" t="n">
        <v>284913.84</v>
      </c>
      <c r="Y11" s="23" t="n">
        <v>254715.12</v>
      </c>
      <c r="Z11" s="23" t="n">
        <v>239851.44</v>
      </c>
      <c r="AA11" s="23" t="n">
        <v>456744.96</v>
      </c>
      <c r="AB11" s="23" t="n">
        <v>379624.32</v>
      </c>
      <c r="AC11" s="23" t="n">
        <v>9495334.560000001</v>
      </c>
    </row>
    <row r="12">
      <c r="A12" s="22" t="inlineStr">
        <is>
          <t>Examination Gloves, Latex (Pair)</t>
        </is>
      </c>
      <c r="B12" s="23" t="n">
        <v>290907</v>
      </c>
      <c r="C12" s="23" t="n">
        <v>313870</v>
      </c>
      <c r="D12" s="23" t="n">
        <v>224264</v>
      </c>
      <c r="E12" s="23" t="n">
        <v>249680</v>
      </c>
      <c r="F12" s="23" t="n">
        <v>279588</v>
      </c>
      <c r="G12" s="23" t="n">
        <v>306719</v>
      </c>
      <c r="H12" s="23" t="n">
        <v>455996</v>
      </c>
      <c r="I12" s="23" t="n">
        <v>391090</v>
      </c>
      <c r="J12" s="23" t="n">
        <v>316713</v>
      </c>
      <c r="K12" s="23" t="n">
        <v>226686</v>
      </c>
      <c r="L12" s="23" t="n">
        <v>363062</v>
      </c>
      <c r="M12" s="23" t="n">
        <v>322672</v>
      </c>
      <c r="N12" s="23" t="n">
        <v>347948</v>
      </c>
      <c r="O12" s="23" t="n">
        <v>592627</v>
      </c>
      <c r="P12" s="23" t="n">
        <v>468729</v>
      </c>
      <c r="Q12" s="23" t="n">
        <v>214231</v>
      </c>
      <c r="R12" s="23" t="n">
        <v>301749</v>
      </c>
      <c r="S12" s="23" t="n">
        <v>429891</v>
      </c>
      <c r="T12" s="23" t="n">
        <v>462418</v>
      </c>
      <c r="U12" s="23" t="n">
        <v>431116</v>
      </c>
      <c r="V12" s="23" t="n">
        <v>269521</v>
      </c>
      <c r="W12" s="23" t="n">
        <v>181980</v>
      </c>
      <c r="X12" s="23" t="n">
        <v>217952</v>
      </c>
      <c r="Y12" s="23" t="n">
        <v>356713</v>
      </c>
      <c r="Z12" s="23" t="n">
        <v>586878</v>
      </c>
      <c r="AA12" s="23" t="n">
        <v>329802</v>
      </c>
      <c r="AB12" s="23" t="n">
        <v>327398</v>
      </c>
      <c r="AC12" s="23" t="n">
        <v>9260200</v>
      </c>
    </row>
    <row r="13">
      <c r="A13" s="22" t="inlineStr">
        <is>
          <t>Ready-to-Use Supplementary Food (RUSF)</t>
        </is>
      </c>
      <c r="B13" s="23" t="n">
        <v>225253.5</v>
      </c>
      <c r="C13" s="23" t="n">
        <v>225841.5</v>
      </c>
      <c r="D13" s="23" t="n">
        <v>244371</v>
      </c>
      <c r="E13" s="23" t="n">
        <v>269368.5</v>
      </c>
      <c r="F13" s="23" t="n">
        <v>281410.5</v>
      </c>
      <c r="G13" s="23" t="n">
        <v>348571.5</v>
      </c>
      <c r="H13" s="23" t="n">
        <v>391734</v>
      </c>
      <c r="I13" s="23" t="n">
        <v>320377.5</v>
      </c>
      <c r="J13" s="23" t="n">
        <v>343027.5</v>
      </c>
      <c r="K13" s="23" t="n">
        <v>255247.5</v>
      </c>
      <c r="L13" s="23" t="n">
        <v>349834.5</v>
      </c>
      <c r="M13" s="23" t="n">
        <v>331596</v>
      </c>
      <c r="N13" s="23" t="n">
        <v>314853</v>
      </c>
      <c r="O13" s="23" t="n">
        <v>381079.5</v>
      </c>
      <c r="P13" s="23" t="n">
        <v>237361.5</v>
      </c>
      <c r="Q13" s="23" t="n">
        <v>388479</v>
      </c>
      <c r="R13" s="23" t="n">
        <v>358179</v>
      </c>
      <c r="S13" s="23" t="n">
        <v>197761.5</v>
      </c>
      <c r="T13" s="23" t="n">
        <v>419134.5</v>
      </c>
      <c r="U13" s="23" t="n">
        <v>535632</v>
      </c>
      <c r="V13" s="23" t="n">
        <v>326427</v>
      </c>
      <c r="W13" s="23" t="n">
        <v>219237</v>
      </c>
      <c r="X13" s="23" t="n">
        <v>171463.5</v>
      </c>
      <c r="Y13" s="23" t="n">
        <v>241266</v>
      </c>
      <c r="Z13" s="23" t="n">
        <v>379273.5</v>
      </c>
      <c r="AA13" s="23" t="n">
        <v>461824.5</v>
      </c>
      <c r="AB13" s="23" t="n">
        <v>438657</v>
      </c>
      <c r="AC13" s="23" t="n">
        <v>8657262</v>
      </c>
    </row>
    <row r="14">
      <c r="A14" s="22" t="inlineStr">
        <is>
          <t>Disposable Delivery Kit</t>
        </is>
      </c>
      <c r="B14" s="23" t="n">
        <v>166128.36</v>
      </c>
      <c r="C14" s="23" t="n">
        <v>143598.69</v>
      </c>
      <c r="D14" s="23" t="n">
        <v>285780.11</v>
      </c>
      <c r="E14" s="23" t="n">
        <v>208680.71</v>
      </c>
      <c r="F14" s="23" t="n">
        <v>212979.01</v>
      </c>
      <c r="G14" s="23" t="n">
        <v>149174.92</v>
      </c>
      <c r="H14" s="23" t="n">
        <v>295682.83</v>
      </c>
      <c r="I14" s="23" t="n">
        <v>318039.33</v>
      </c>
      <c r="J14" s="23" t="n">
        <v>283860.26</v>
      </c>
      <c r="K14" s="23" t="n">
        <v>258837.09</v>
      </c>
      <c r="L14" s="23" t="n">
        <v>270908.3</v>
      </c>
      <c r="M14" s="23" t="n">
        <v>263997.13</v>
      </c>
      <c r="N14" s="23" t="n">
        <v>337859.6</v>
      </c>
      <c r="O14" s="23" t="n">
        <v>570905.77</v>
      </c>
      <c r="P14" s="23" t="n">
        <v>454034.06</v>
      </c>
      <c r="Q14" s="23" t="n">
        <v>315694.97</v>
      </c>
      <c r="R14" s="23" t="n">
        <v>232561.26</v>
      </c>
      <c r="S14" s="23" t="n">
        <v>241353.53</v>
      </c>
      <c r="T14" s="23" t="n">
        <v>432561.63</v>
      </c>
      <c r="U14" s="23" t="n">
        <v>382617.91</v>
      </c>
      <c r="V14" s="23" t="n">
        <v>268009.96</v>
      </c>
      <c r="W14" s="23" t="n">
        <v>318565.21</v>
      </c>
      <c r="X14" s="23" t="n">
        <v>287499.84</v>
      </c>
      <c r="Y14" s="23" t="n">
        <v>331268.69</v>
      </c>
      <c r="Z14" s="23" t="n">
        <v>347968.37</v>
      </c>
      <c r="AA14" s="23" t="n">
        <v>389525.36</v>
      </c>
      <c r="AB14" s="23" t="n">
        <v>456571.3</v>
      </c>
      <c r="AC14" s="23" t="n">
        <v>8224664.2</v>
      </c>
    </row>
    <row r="15">
      <c r="A15" s="22" t="inlineStr">
        <is>
          <t>Multiple Micronutrient Powder</t>
        </is>
      </c>
      <c r="B15" s="23" t="n">
        <v>254376.9</v>
      </c>
      <c r="C15" s="23" t="n">
        <v>216423.6</v>
      </c>
      <c r="D15" s="23" t="n">
        <v>96087.89999999999</v>
      </c>
      <c r="E15" s="23" t="n">
        <v>264394.2</v>
      </c>
      <c r="F15" s="23" t="n">
        <v>254880</v>
      </c>
      <c r="G15" s="23" t="n">
        <v>118228.5</v>
      </c>
      <c r="H15" s="23" t="n">
        <v>347702.7</v>
      </c>
      <c r="I15" s="23" t="n">
        <v>315642.9</v>
      </c>
      <c r="J15" s="23" t="n">
        <v>200132.4</v>
      </c>
      <c r="K15" s="23" t="n">
        <v>279549.6</v>
      </c>
      <c r="L15" s="23" t="n">
        <v>120577.5</v>
      </c>
      <c r="M15" s="23" t="n">
        <v>214898.7</v>
      </c>
      <c r="N15" s="23" t="n">
        <v>438828.3</v>
      </c>
      <c r="O15" s="23" t="n">
        <v>418157.7</v>
      </c>
      <c r="P15" s="23" t="n">
        <v>176513.7</v>
      </c>
      <c r="Q15" s="23" t="n">
        <v>119517.9</v>
      </c>
      <c r="R15" s="23" t="n">
        <v>249191.4</v>
      </c>
      <c r="S15" s="23" t="n">
        <v>380208.9</v>
      </c>
      <c r="T15" s="23" t="n">
        <v>404493</v>
      </c>
      <c r="U15" s="23" t="n">
        <v>359143.5</v>
      </c>
      <c r="V15" s="23" t="n">
        <v>249901.8</v>
      </c>
      <c r="W15" s="23" t="n">
        <v>172207.5</v>
      </c>
      <c r="X15" s="23" t="n">
        <v>263597.4</v>
      </c>
      <c r="Y15" s="23" t="n">
        <v>314710.2</v>
      </c>
      <c r="Z15" s="23" t="n">
        <v>509508.9</v>
      </c>
      <c r="AA15" s="23" t="n">
        <v>317174.4</v>
      </c>
      <c r="AB15" s="23" t="n">
        <v>409561.5</v>
      </c>
      <c r="AC15" s="23" t="n">
        <v>7465611</v>
      </c>
    </row>
    <row r="16">
      <c r="A16" s="22" t="inlineStr">
        <is>
          <t>Tenofovir + Emtricitabine 300/200 mg</t>
        </is>
      </c>
      <c r="B16" s="23" t="n">
        <v>276263.7</v>
      </c>
      <c r="C16" s="23" t="n">
        <v>281149.5</v>
      </c>
      <c r="D16" s="23" t="n">
        <v>191314.5</v>
      </c>
      <c r="E16" s="23" t="n">
        <v>186601.5</v>
      </c>
      <c r="F16" s="23" t="n">
        <v>134310.6</v>
      </c>
      <c r="G16" s="23" t="n">
        <v>139001.1</v>
      </c>
      <c r="H16" s="23" t="n">
        <v>357683.7</v>
      </c>
      <c r="I16" s="23" t="n">
        <v>298038</v>
      </c>
      <c r="J16" s="23" t="n">
        <v>279794.1</v>
      </c>
      <c r="K16" s="23" t="n">
        <v>169405.2</v>
      </c>
      <c r="L16" s="23" t="n">
        <v>272789.1</v>
      </c>
      <c r="M16" s="23" t="n">
        <v>227035.2</v>
      </c>
      <c r="N16" s="23" t="n">
        <v>322657.2</v>
      </c>
      <c r="O16" s="23" t="n">
        <v>315596.7</v>
      </c>
      <c r="P16" s="23" t="n">
        <v>429778.8</v>
      </c>
      <c r="Q16" s="23" t="n">
        <v>293903.7</v>
      </c>
      <c r="R16" s="23" t="n">
        <v>232376.4</v>
      </c>
      <c r="S16" s="23" t="n">
        <v>290516.4</v>
      </c>
      <c r="T16" s="23" t="n">
        <v>356961.9</v>
      </c>
      <c r="U16" s="23" t="n">
        <v>270573.3</v>
      </c>
      <c r="V16" s="23" t="n">
        <v>243840</v>
      </c>
      <c r="W16" s="23" t="n">
        <v>184290</v>
      </c>
      <c r="X16" s="23" t="n">
        <v>182090.4</v>
      </c>
      <c r="Y16" s="23" t="n">
        <v>250306.8</v>
      </c>
      <c r="Z16" s="23" t="n">
        <v>190005.3</v>
      </c>
      <c r="AA16" s="23" t="n">
        <v>319022.1</v>
      </c>
      <c r="AB16" s="23" t="n">
        <v>162752.4</v>
      </c>
      <c r="AC16" s="23" t="n">
        <v>6858057.6</v>
      </c>
    </row>
    <row r="17">
      <c r="A17" s="22" t="inlineStr">
        <is>
          <t>Disposable Syringe 10 ml with Needle</t>
        </is>
      </c>
      <c r="B17" s="23" t="n">
        <v>120042</v>
      </c>
      <c r="C17" s="23" t="n">
        <v>199685</v>
      </c>
      <c r="D17" s="23" t="n">
        <v>133900</v>
      </c>
      <c r="E17" s="23" t="n">
        <v>199483</v>
      </c>
      <c r="F17" s="23" t="n">
        <v>114379</v>
      </c>
      <c r="G17" s="23" t="n">
        <v>239861</v>
      </c>
      <c r="H17" s="23" t="n">
        <v>292810</v>
      </c>
      <c r="I17" s="23" t="n">
        <v>316900</v>
      </c>
      <c r="J17" s="23" t="n">
        <v>163419</v>
      </c>
      <c r="K17" s="23" t="n">
        <v>126522</v>
      </c>
      <c r="L17" s="23" t="n">
        <v>228798</v>
      </c>
      <c r="M17" s="23" t="n">
        <v>152507</v>
      </c>
      <c r="N17" s="23" t="n">
        <v>268943</v>
      </c>
      <c r="O17" s="23" t="n">
        <v>493980</v>
      </c>
      <c r="P17" s="23" t="n">
        <v>286782</v>
      </c>
      <c r="Q17" s="23" t="n">
        <v>220806</v>
      </c>
      <c r="R17" s="23" t="n">
        <v>214452</v>
      </c>
      <c r="S17" s="23" t="n">
        <v>239105</v>
      </c>
      <c r="T17" s="23" t="n">
        <v>276479</v>
      </c>
      <c r="U17" s="23" t="n">
        <v>245625</v>
      </c>
      <c r="V17" s="23" t="n">
        <v>196843</v>
      </c>
      <c r="W17" s="23" t="n">
        <v>199987</v>
      </c>
      <c r="X17" s="23" t="n">
        <v>159721</v>
      </c>
      <c r="Y17" s="23" t="n">
        <v>235547</v>
      </c>
      <c r="Z17" s="23" t="n">
        <v>222549</v>
      </c>
      <c r="AA17" s="23" t="n">
        <v>372576</v>
      </c>
      <c r="AB17" s="23" t="n">
        <v>266942</v>
      </c>
      <c r="AC17" s="23" t="n">
        <v>6188643</v>
      </c>
    </row>
    <row r="18">
      <c r="A18" s="22" t="inlineStr">
        <is>
          <t>Insulin Regular 100 IU/ml</t>
        </is>
      </c>
      <c r="B18" s="23" t="n">
        <v>174631.31</v>
      </c>
      <c r="C18" s="23" t="n">
        <v>199123.53</v>
      </c>
      <c r="D18" s="23" t="n">
        <v>204192.4</v>
      </c>
      <c r="E18" s="23" t="n">
        <v>146649.15</v>
      </c>
      <c r="F18" s="23" t="n">
        <v>119096.04</v>
      </c>
      <c r="G18" s="23" t="n">
        <v>105797.45</v>
      </c>
      <c r="H18" s="23" t="n">
        <v>181390.85</v>
      </c>
      <c r="I18" s="23" t="n">
        <v>171581.3</v>
      </c>
      <c r="J18" s="23" t="n">
        <v>172394.15</v>
      </c>
      <c r="K18" s="23" t="n">
        <v>145506.94</v>
      </c>
      <c r="L18" s="23" t="n">
        <v>141089.28</v>
      </c>
      <c r="M18" s="23" t="n">
        <v>164003.59</v>
      </c>
      <c r="N18" s="23" t="n">
        <v>247065.42</v>
      </c>
      <c r="O18" s="23" t="n">
        <v>279453.95</v>
      </c>
      <c r="P18" s="23" t="n">
        <v>337270.69</v>
      </c>
      <c r="Q18" s="23" t="n">
        <v>195440.31</v>
      </c>
      <c r="R18" s="23" t="n">
        <v>201305.74</v>
      </c>
      <c r="S18" s="23" t="n">
        <v>216426.78</v>
      </c>
      <c r="T18" s="23" t="n">
        <v>257992.88</v>
      </c>
      <c r="U18" s="23" t="n">
        <v>270454.08</v>
      </c>
      <c r="V18" s="23" t="n">
        <v>154601.55</v>
      </c>
      <c r="W18" s="23" t="n">
        <v>173878.73</v>
      </c>
      <c r="X18" s="23" t="n">
        <v>157370.52</v>
      </c>
      <c r="Y18" s="23" t="n">
        <v>173775.14</v>
      </c>
      <c r="Z18" s="23" t="n">
        <v>256005.98</v>
      </c>
      <c r="AA18" s="23" t="n">
        <v>267059.84</v>
      </c>
      <c r="AB18" s="23" t="n">
        <v>201624.88</v>
      </c>
      <c r="AC18" s="23" t="n">
        <v>5315182.48</v>
      </c>
    </row>
    <row r="19">
      <c r="A19" s="22" t="inlineStr">
        <is>
          <t>Rapid Diagnostic Test - Malaria</t>
        </is>
      </c>
      <c r="B19" s="23" t="n">
        <v>137224.5</v>
      </c>
      <c r="C19" s="23" t="n">
        <v>263694.25</v>
      </c>
      <c r="D19" s="23" t="n">
        <v>214041</v>
      </c>
      <c r="E19" s="23" t="n">
        <v>163129.5</v>
      </c>
      <c r="F19" s="23" t="n">
        <v>139405.5</v>
      </c>
      <c r="G19" s="23" t="n">
        <v>76517.5</v>
      </c>
      <c r="H19" s="23" t="n">
        <v>317715.25</v>
      </c>
      <c r="I19" s="23" t="n">
        <v>213783.5</v>
      </c>
      <c r="J19" s="23" t="n">
        <v>124940.75</v>
      </c>
      <c r="K19" s="23" t="n">
        <v>186527.25</v>
      </c>
      <c r="L19" s="23" t="n">
        <v>133221.25</v>
      </c>
      <c r="M19" s="23" t="n">
        <v>227977</v>
      </c>
      <c r="N19" s="23" t="n">
        <v>181080.25</v>
      </c>
      <c r="O19" s="23" t="n">
        <v>247714.75</v>
      </c>
      <c r="P19" s="23" t="n">
        <v>228004.5</v>
      </c>
      <c r="Q19" s="23" t="n">
        <v>168291.75</v>
      </c>
      <c r="R19" s="23" t="n">
        <v>139072.75</v>
      </c>
      <c r="S19" s="23" t="n">
        <v>227019.25</v>
      </c>
      <c r="T19" s="23" t="n">
        <v>265524.5</v>
      </c>
      <c r="U19" s="23" t="n">
        <v>221684</v>
      </c>
      <c r="V19" s="23" t="n">
        <v>96513.75</v>
      </c>
      <c r="W19" s="23" t="n">
        <v>205468.75</v>
      </c>
      <c r="X19" s="23" t="n">
        <v>112003.5</v>
      </c>
      <c r="Y19" s="23" t="n">
        <v>162442</v>
      </c>
      <c r="Z19" s="23" t="n">
        <v>232633.5</v>
      </c>
      <c r="AA19" s="23" t="n">
        <v>169744.75</v>
      </c>
      <c r="AB19" s="23" t="n">
        <v>263776</v>
      </c>
      <c r="AC19" s="23" t="n">
        <v>5119151.25</v>
      </c>
    </row>
    <row r="20">
      <c r="A20" s="22" t="inlineStr">
        <is>
          <t>Infant Formula, Therapeutic (Lactogen-free)</t>
        </is>
      </c>
      <c r="B20" s="23" t="n">
        <v>87824.75999999999</v>
      </c>
      <c r="C20" s="23" t="n">
        <v>140253.84</v>
      </c>
      <c r="D20" s="23" t="n">
        <v>171058.32</v>
      </c>
      <c r="E20" s="23" t="n">
        <v>200766</v>
      </c>
      <c r="F20" s="23" t="n">
        <v>183106.44</v>
      </c>
      <c r="G20" s="23" t="n">
        <v>156718.2</v>
      </c>
      <c r="H20" s="23" t="n">
        <v>244776.72</v>
      </c>
      <c r="I20" s="23" t="n">
        <v>228299.16</v>
      </c>
      <c r="J20" s="23" t="n">
        <v>181250.16</v>
      </c>
      <c r="K20" s="23" t="n">
        <v>177682.56</v>
      </c>
      <c r="L20" s="23" t="n">
        <v>165734.28</v>
      </c>
      <c r="M20" s="23" t="n">
        <v>182827.92</v>
      </c>
      <c r="N20" s="23" t="n">
        <v>239581.92</v>
      </c>
      <c r="O20" s="23" t="n">
        <v>302244.6</v>
      </c>
      <c r="P20" s="23" t="n">
        <v>279077.4</v>
      </c>
      <c r="Q20" s="23" t="n">
        <v>214698</v>
      </c>
      <c r="R20" s="23" t="n">
        <v>173436</v>
      </c>
      <c r="S20" s="23" t="n">
        <v>220686.72</v>
      </c>
      <c r="T20" s="23" t="n">
        <v>85475.75999999999</v>
      </c>
      <c r="U20" s="23" t="n">
        <v>206988.48</v>
      </c>
      <c r="V20" s="23" t="n">
        <v>206544.24</v>
      </c>
      <c r="W20" s="23" t="n">
        <v>134013.96</v>
      </c>
      <c r="X20" s="23" t="n">
        <v>114878.04</v>
      </c>
      <c r="Y20" s="23" t="n">
        <v>163453.08</v>
      </c>
      <c r="Z20" s="23" t="n">
        <v>130433.52</v>
      </c>
      <c r="AA20" s="23" t="n">
        <v>165633.96</v>
      </c>
      <c r="AB20" s="23" t="n">
        <v>247983</v>
      </c>
      <c r="AC20" s="23" t="n">
        <v>5005427.04</v>
      </c>
    </row>
  </sheetData>
  <mergeCells count="1">
    <mergeCell ref="A2:L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7F8F"/>
    <outlinePr summaryBelow="1" summaryRight="1"/>
    <pageSetUpPr/>
  </sheetPr>
  <dimension ref="A1:AC12"/>
  <sheetViews>
    <sheetView showGridLines="0" zoomScale="9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6" customWidth="1" min="29" max="29"/>
  </cols>
  <sheetData>
    <row r="1">
      <c r="A1" s="1" t="inlineStr">
        <is>
          <t>Consumption by Category and Month</t>
        </is>
      </c>
    </row>
    <row r="2">
      <c r="A2" s="2" t="inlineStr">
        <is>
          <t>Values in PKR. Inter-store transfers are excluded.</t>
        </is>
      </c>
    </row>
    <row r="3" ht="6" customHeight="1"/>
    <row r="5" ht="34" customHeight="1">
      <c r="A5" s="11" t="inlineStr">
        <is>
          <t>Category</t>
        </is>
      </c>
      <c r="B5" s="11" t="inlineStr">
        <is>
          <t>Jul-24</t>
        </is>
      </c>
      <c r="C5" s="11" t="inlineStr">
        <is>
          <t>Aug-24</t>
        </is>
      </c>
      <c r="D5" s="11" t="inlineStr">
        <is>
          <t>Sep-24</t>
        </is>
      </c>
      <c r="E5" s="11" t="inlineStr">
        <is>
          <t>Oct-24</t>
        </is>
      </c>
      <c r="F5" s="11" t="inlineStr">
        <is>
          <t>Nov-24</t>
        </is>
      </c>
      <c r="G5" s="11" t="inlineStr">
        <is>
          <t>Dec-24</t>
        </is>
      </c>
      <c r="H5" s="11" t="inlineStr">
        <is>
          <t>Jan-25</t>
        </is>
      </c>
      <c r="I5" s="11" t="inlineStr">
        <is>
          <t>Feb-25</t>
        </is>
      </c>
      <c r="J5" s="11" t="inlineStr">
        <is>
          <t>Mar-25</t>
        </is>
      </c>
      <c r="K5" s="11" t="inlineStr">
        <is>
          <t>Apr-25</t>
        </is>
      </c>
      <c r="L5" s="11" t="inlineStr">
        <is>
          <t>May-25</t>
        </is>
      </c>
      <c r="M5" s="11" t="inlineStr">
        <is>
          <t>Jun-25</t>
        </is>
      </c>
      <c r="N5" s="11" t="inlineStr">
        <is>
          <t>Jul-25</t>
        </is>
      </c>
      <c r="O5" s="11" t="inlineStr">
        <is>
          <t>Aug-25</t>
        </is>
      </c>
      <c r="P5" s="11" t="inlineStr">
        <is>
          <t>Sep-25</t>
        </is>
      </c>
      <c r="Q5" s="11" t="inlineStr">
        <is>
          <t>Oct-25</t>
        </is>
      </c>
      <c r="R5" s="11" t="inlineStr">
        <is>
          <t>Nov-25</t>
        </is>
      </c>
      <c r="S5" s="11" t="inlineStr">
        <is>
          <t>Dec-25</t>
        </is>
      </c>
      <c r="T5" s="11" t="inlineStr">
        <is>
          <t>Jan-26</t>
        </is>
      </c>
      <c r="U5" s="11" t="inlineStr">
        <is>
          <t>Feb-26</t>
        </is>
      </c>
      <c r="V5" s="11" t="inlineStr">
        <is>
          <t>Mar-26</t>
        </is>
      </c>
      <c r="W5" s="11" t="inlineStr">
        <is>
          <t>Apr-26</t>
        </is>
      </c>
      <c r="X5" s="11" t="inlineStr">
        <is>
          <t>May-26</t>
        </is>
      </c>
      <c r="Y5" s="11" t="inlineStr">
        <is>
          <t>Jun-26</t>
        </is>
      </c>
      <c r="Z5" s="11" t="inlineStr">
        <is>
          <t>Jul-26</t>
        </is>
      </c>
      <c r="AA5" s="11" t="inlineStr">
        <is>
          <t>Aug-26</t>
        </is>
      </c>
      <c r="AB5" s="11" t="inlineStr">
        <is>
          <t>Sep-26</t>
        </is>
      </c>
      <c r="AC5" s="11" t="inlineStr">
        <is>
          <t>Total</t>
        </is>
      </c>
    </row>
    <row r="6">
      <c r="A6" s="22" t="inlineStr">
        <is>
          <t>Medicines</t>
        </is>
      </c>
      <c r="B6" s="23" t="n">
        <v>2122900.5</v>
      </c>
      <c r="C6" s="23" t="n">
        <v>2835784</v>
      </c>
      <c r="D6" s="23" t="n">
        <v>2816316.42</v>
      </c>
      <c r="E6" s="23" t="n">
        <v>2823834.91</v>
      </c>
      <c r="F6" s="23" t="n">
        <v>2182335.13</v>
      </c>
      <c r="G6" s="23" t="n">
        <v>2534095.56</v>
      </c>
      <c r="H6" s="23" t="n">
        <v>3837965.14</v>
      </c>
      <c r="I6" s="23" t="n">
        <v>3599311.18</v>
      </c>
      <c r="J6" s="23" t="n">
        <v>2905446.34</v>
      </c>
      <c r="K6" s="23" t="n">
        <v>2911628.7</v>
      </c>
      <c r="L6" s="23" t="n">
        <v>2810298.85</v>
      </c>
      <c r="M6" s="23" t="n">
        <v>3065979.24</v>
      </c>
      <c r="N6" s="23" t="n">
        <v>3476962.39</v>
      </c>
      <c r="O6" s="23" t="n">
        <v>5128561.49</v>
      </c>
      <c r="P6" s="23" t="n">
        <v>5033334.24</v>
      </c>
      <c r="Q6" s="23" t="n">
        <v>3758757.62</v>
      </c>
      <c r="R6" s="23" t="n">
        <v>2829774.03</v>
      </c>
      <c r="S6" s="23" t="n">
        <v>3568803.32</v>
      </c>
      <c r="T6" s="23" t="n">
        <v>3765004.24</v>
      </c>
      <c r="U6" s="23" t="n">
        <v>3357511.54</v>
      </c>
      <c r="V6" s="23" t="n">
        <v>2580106.34</v>
      </c>
      <c r="W6" s="23" t="n">
        <v>2648051.22</v>
      </c>
      <c r="X6" s="23" t="n">
        <v>2810324.16</v>
      </c>
      <c r="Y6" s="23" t="n">
        <v>3136402.99</v>
      </c>
      <c r="Z6" s="23" t="n">
        <v>3678818.71</v>
      </c>
      <c r="AA6" s="23" t="n">
        <v>3825914.85</v>
      </c>
      <c r="AB6" s="23" t="n">
        <v>3546963.37</v>
      </c>
      <c r="AC6" s="23" t="n">
        <v>87591186.48</v>
      </c>
    </row>
    <row r="7">
      <c r="A7" s="22" t="inlineStr">
        <is>
          <t>Medical Consumables</t>
        </is>
      </c>
      <c r="B7" s="23" t="n">
        <v>1829362.42</v>
      </c>
      <c r="C7" s="23" t="n">
        <v>1931786.63</v>
      </c>
      <c r="D7" s="23" t="n">
        <v>1904441.67</v>
      </c>
      <c r="E7" s="23" t="n">
        <v>1969567.92</v>
      </c>
      <c r="F7" s="23" t="n">
        <v>1656360.45</v>
      </c>
      <c r="G7" s="23" t="n">
        <v>2102680.71</v>
      </c>
      <c r="H7" s="23" t="n">
        <v>2998910.25</v>
      </c>
      <c r="I7" s="23" t="n">
        <v>2991603.74</v>
      </c>
      <c r="J7" s="23" t="n">
        <v>2330182.03</v>
      </c>
      <c r="K7" s="23" t="n">
        <v>2036602.73</v>
      </c>
      <c r="L7" s="23" t="n">
        <v>2160968.27</v>
      </c>
      <c r="M7" s="23" t="n">
        <v>2382101.59</v>
      </c>
      <c r="N7" s="23" t="n">
        <v>2898996.2</v>
      </c>
      <c r="O7" s="23" t="n">
        <v>4607803.68</v>
      </c>
      <c r="P7" s="23" t="n">
        <v>3860092.65</v>
      </c>
      <c r="Q7" s="23" t="n">
        <v>2606925.33</v>
      </c>
      <c r="R7" s="23" t="n">
        <v>2399235.25</v>
      </c>
      <c r="S7" s="23" t="n">
        <v>2841053.07</v>
      </c>
      <c r="T7" s="23" t="n">
        <v>3181717.32</v>
      </c>
      <c r="U7" s="23" t="n">
        <v>3134375.44</v>
      </c>
      <c r="V7" s="23" t="n">
        <v>2073343.64</v>
      </c>
      <c r="W7" s="23" t="n">
        <v>2317204.51</v>
      </c>
      <c r="X7" s="23" t="n">
        <v>2178603.41</v>
      </c>
      <c r="Y7" s="23" t="n">
        <v>2624550.74</v>
      </c>
      <c r="Z7" s="23" t="n">
        <v>3551157.16</v>
      </c>
      <c r="AA7" s="23" t="n">
        <v>3373900.91</v>
      </c>
      <c r="AB7" s="23" t="n">
        <v>3038247.03</v>
      </c>
      <c r="AC7" s="23" t="n">
        <v>70981774.75</v>
      </c>
    </row>
    <row r="8">
      <c r="A8" s="22" t="inlineStr">
        <is>
          <t>Nutrition</t>
        </is>
      </c>
      <c r="B8" s="23" t="n">
        <v>1480054.06</v>
      </c>
      <c r="C8" s="23" t="n">
        <v>1902273.86</v>
      </c>
      <c r="D8" s="23" t="n">
        <v>2261819.62</v>
      </c>
      <c r="E8" s="23" t="n">
        <v>2424914.98</v>
      </c>
      <c r="F8" s="23" t="n">
        <v>2053147.34</v>
      </c>
      <c r="G8" s="23" t="n">
        <v>2165901.92</v>
      </c>
      <c r="H8" s="23" t="n">
        <v>3131269.16</v>
      </c>
      <c r="I8" s="23" t="n">
        <v>2796532.84</v>
      </c>
      <c r="J8" s="23" t="n">
        <v>2490324.5</v>
      </c>
      <c r="K8" s="23" t="n">
        <v>2246163.02</v>
      </c>
      <c r="L8" s="23" t="n">
        <v>2158844.14</v>
      </c>
      <c r="M8" s="23" t="n">
        <v>1917066.68</v>
      </c>
      <c r="N8" s="23" t="n">
        <v>2728027.54</v>
      </c>
      <c r="O8" s="23" t="n">
        <v>3487206.08</v>
      </c>
      <c r="P8" s="23" t="n">
        <v>3452425.7</v>
      </c>
      <c r="Q8" s="23" t="n">
        <v>2850204.04</v>
      </c>
      <c r="R8" s="23" t="n">
        <v>2397447.62</v>
      </c>
      <c r="S8" s="23" t="n">
        <v>2659691.28</v>
      </c>
      <c r="T8" s="23" t="n">
        <v>3114381.76</v>
      </c>
      <c r="U8" s="23" t="n">
        <v>3213356.66</v>
      </c>
      <c r="V8" s="23" t="n">
        <v>2111651.78</v>
      </c>
      <c r="W8" s="23" t="n">
        <v>2140295.52</v>
      </c>
      <c r="X8" s="23" t="n">
        <v>2017219.28</v>
      </c>
      <c r="Y8" s="23" t="n">
        <v>2074228.9</v>
      </c>
      <c r="Z8" s="23" t="n">
        <v>2982129.92</v>
      </c>
      <c r="AA8" s="23" t="n">
        <v>2957818</v>
      </c>
      <c r="AB8" s="23" t="n">
        <v>3556220.82</v>
      </c>
      <c r="AC8" s="23" t="n">
        <v>68770617.02</v>
      </c>
    </row>
    <row r="9">
      <c r="A9" s="22" t="inlineStr">
        <is>
          <t>Laboratory</t>
        </is>
      </c>
      <c r="B9" s="23" t="n">
        <v>720313.83</v>
      </c>
      <c r="C9" s="23" t="n">
        <v>871521.3100000001</v>
      </c>
      <c r="D9" s="23" t="n">
        <v>855937.55</v>
      </c>
      <c r="E9" s="23" t="n">
        <v>740207.8100000001</v>
      </c>
      <c r="F9" s="23" t="n">
        <v>619429.04</v>
      </c>
      <c r="G9" s="23" t="n">
        <v>577064.34</v>
      </c>
      <c r="H9" s="23" t="n">
        <v>1024527.85</v>
      </c>
      <c r="I9" s="23" t="n">
        <v>786891.12</v>
      </c>
      <c r="J9" s="23" t="n">
        <v>711085.9399999999</v>
      </c>
      <c r="K9" s="23" t="n">
        <v>717820.95</v>
      </c>
      <c r="L9" s="23" t="n">
        <v>590722.99</v>
      </c>
      <c r="M9" s="23" t="n">
        <v>755614.79</v>
      </c>
      <c r="N9" s="23" t="n">
        <v>804867.99</v>
      </c>
      <c r="O9" s="23" t="n">
        <v>1174223.77</v>
      </c>
      <c r="P9" s="23" t="n">
        <v>1136144.91</v>
      </c>
      <c r="Q9" s="23" t="n">
        <v>698947.85</v>
      </c>
      <c r="R9" s="23" t="n">
        <v>613783.5</v>
      </c>
      <c r="S9" s="23" t="n">
        <v>879958.3</v>
      </c>
      <c r="T9" s="23" t="n">
        <v>911104.41</v>
      </c>
      <c r="U9" s="23" t="n">
        <v>845412.54</v>
      </c>
      <c r="V9" s="23" t="n">
        <v>478790.05</v>
      </c>
      <c r="W9" s="23" t="n">
        <v>697635.9</v>
      </c>
      <c r="X9" s="23" t="n">
        <v>601127.84</v>
      </c>
      <c r="Y9" s="23" t="n">
        <v>692062.2</v>
      </c>
      <c r="Z9" s="23" t="n">
        <v>861200.4399999999</v>
      </c>
      <c r="AA9" s="23" t="n">
        <v>638630.15</v>
      </c>
      <c r="AB9" s="23" t="n">
        <v>920318.38</v>
      </c>
      <c r="AC9" s="23" t="n">
        <v>20925345.75</v>
      </c>
    </row>
    <row r="10">
      <c r="A10" s="22" t="inlineStr">
        <is>
          <t>General Items</t>
        </is>
      </c>
      <c r="B10" s="23" t="n">
        <v>387153.22</v>
      </c>
      <c r="C10" s="23" t="n">
        <v>317643.38</v>
      </c>
      <c r="D10" s="23" t="n">
        <v>291623.33</v>
      </c>
      <c r="E10" s="23" t="n">
        <v>381238.2</v>
      </c>
      <c r="F10" s="23" t="n">
        <v>349240.49</v>
      </c>
      <c r="G10" s="23" t="n">
        <v>340023.34</v>
      </c>
      <c r="H10" s="23" t="n">
        <v>487771.25</v>
      </c>
      <c r="I10" s="23" t="n">
        <v>365065.7</v>
      </c>
      <c r="J10" s="23" t="n">
        <v>429816.6</v>
      </c>
      <c r="K10" s="23" t="n">
        <v>476119.37</v>
      </c>
      <c r="L10" s="23" t="n">
        <v>446623.26</v>
      </c>
      <c r="M10" s="23" t="n">
        <v>433793.43</v>
      </c>
      <c r="N10" s="23" t="n">
        <v>365447.96</v>
      </c>
      <c r="O10" s="23" t="n">
        <v>548167.15</v>
      </c>
      <c r="P10" s="23" t="n">
        <v>612439.54</v>
      </c>
      <c r="Q10" s="23" t="n">
        <v>422162.11</v>
      </c>
      <c r="R10" s="23" t="n">
        <v>447076.12</v>
      </c>
      <c r="S10" s="23" t="n">
        <v>480675.29</v>
      </c>
      <c r="T10" s="23" t="n">
        <v>462491.17</v>
      </c>
      <c r="U10" s="23" t="n">
        <v>395733.21</v>
      </c>
      <c r="V10" s="23" t="n">
        <v>304428.9</v>
      </c>
      <c r="W10" s="23" t="n">
        <v>386021.78</v>
      </c>
      <c r="X10" s="23" t="n">
        <v>494900.66</v>
      </c>
      <c r="Y10" s="23" t="n">
        <v>449836.79</v>
      </c>
      <c r="Z10" s="23" t="n">
        <v>408564.13</v>
      </c>
      <c r="AA10" s="23" t="n">
        <v>380216.04</v>
      </c>
      <c r="AB10" s="23" t="n">
        <v>294489.24</v>
      </c>
      <c r="AC10" s="23" t="n">
        <v>11158761.66</v>
      </c>
    </row>
    <row r="11">
      <c r="A11" s="22" t="inlineStr">
        <is>
          <t>Equipment</t>
        </is>
      </c>
      <c r="B11" s="23" t="n">
        <v>12766.82</v>
      </c>
      <c r="C11" s="23" t="n"/>
      <c r="D11" s="23" t="n"/>
      <c r="E11" s="23" t="n"/>
      <c r="F11" s="23" t="n"/>
      <c r="G11" s="23" t="n"/>
      <c r="H11" s="23" t="n">
        <v>1446.24</v>
      </c>
      <c r="I11" s="23" t="n">
        <v>33911.87</v>
      </c>
      <c r="J11" s="23" t="n">
        <v>1446.24</v>
      </c>
      <c r="K11" s="23" t="n"/>
      <c r="L11" s="23" t="n"/>
      <c r="M11" s="23" t="n">
        <v>15908.66</v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>
        <v>18452.05</v>
      </c>
      <c r="X11" s="23" t="n"/>
      <c r="Y11" s="23" t="n"/>
      <c r="Z11" s="23" t="n"/>
      <c r="AA11" s="23" t="n"/>
      <c r="AB11" s="23" t="n">
        <v>6782.37</v>
      </c>
      <c r="AC11" s="23" t="n">
        <v>90714.25</v>
      </c>
    </row>
    <row r="12">
      <c r="A12" s="26" t="inlineStr">
        <is>
          <t>TOTAL</t>
        </is>
      </c>
      <c r="B12" s="27" t="n">
        <v>6552550.85</v>
      </c>
      <c r="C12" s="27" t="n">
        <v>7859009.18</v>
      </c>
      <c r="D12" s="27" t="n">
        <v>8130138.59</v>
      </c>
      <c r="E12" s="27" t="n">
        <v>8339763.82</v>
      </c>
      <c r="F12" s="27" t="n">
        <v>6860512.45</v>
      </c>
      <c r="G12" s="27" t="n">
        <v>7719765.87</v>
      </c>
      <c r="H12" s="27" t="n">
        <v>11481889.89</v>
      </c>
      <c r="I12" s="27" t="n">
        <v>10573316.45</v>
      </c>
      <c r="J12" s="27" t="n">
        <v>8868301.65</v>
      </c>
      <c r="K12" s="27" t="n">
        <v>8388334.77</v>
      </c>
      <c r="L12" s="27" t="n">
        <v>8167457.51</v>
      </c>
      <c r="M12" s="27" t="n">
        <v>8570464.390000001</v>
      </c>
      <c r="N12" s="27" t="n">
        <v>10274302.08</v>
      </c>
      <c r="O12" s="27" t="n">
        <v>14945962.17</v>
      </c>
      <c r="P12" s="27" t="n">
        <v>14094437.04</v>
      </c>
      <c r="Q12" s="27" t="n">
        <v>10336996.95</v>
      </c>
      <c r="R12" s="27" t="n">
        <v>8687316.52</v>
      </c>
      <c r="S12" s="27" t="n">
        <v>10430181.26</v>
      </c>
      <c r="T12" s="27" t="n">
        <v>11434698.9</v>
      </c>
      <c r="U12" s="27" t="n">
        <v>10946389.39</v>
      </c>
      <c r="V12" s="27" t="n">
        <v>7548320.71</v>
      </c>
      <c r="W12" s="27" t="n">
        <v>8207660.98</v>
      </c>
      <c r="X12" s="27" t="n">
        <v>8102175.35</v>
      </c>
      <c r="Y12" s="27" t="n">
        <v>8977081.619999999</v>
      </c>
      <c r="Z12" s="27" t="n">
        <v>11481870.36</v>
      </c>
      <c r="AA12" s="27" t="n">
        <v>11176479.95</v>
      </c>
      <c r="AB12" s="27" t="n">
        <v>11363021.21</v>
      </c>
      <c r="AC12" s="27" t="n">
        <v>259518399.91</v>
      </c>
    </row>
  </sheetData>
  <mergeCells count="1">
    <mergeCell ref="A2:L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45756"/>
    <outlinePr summaryBelow="1" summaryRight="1"/>
    <pageSetUpPr/>
  </sheetPr>
  <dimension ref="A1:I174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22" customWidth="1" min="4" max="4"/>
    <col width="16" customWidth="1" min="5" max="5"/>
    <col width="16" customWidth="1" min="6" max="6"/>
    <col width="16" customWidth="1" min="7" max="7"/>
    <col width="12" customWidth="1" min="8" max="8"/>
    <col width="14" customWidth="1" min="9" max="9"/>
  </cols>
  <sheetData>
    <row r="1">
      <c r="A1" s="1" t="inlineStr">
        <is>
          <t>Budget versus Consumption by Project, Fiscal Year and Category</t>
        </is>
      </c>
    </row>
    <row r="2">
      <c r="A2" s="2" t="inlineStr">
        <is>
          <t>Product-category budget only (medicines, consumables, laboratory, nutrition, equipment, general); HR and programme-operations lines excluded. Utilisation = consumption / budget.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Fiscal year</t>
        </is>
      </c>
      <c r="D5" s="11" t="inlineStr">
        <is>
          <t>Expense category</t>
        </is>
      </c>
      <c r="E5" s="11" t="inlineStr">
        <is>
          <t>Budget</t>
        </is>
      </c>
      <c r="F5" s="11" t="inlineStr">
        <is>
          <t>Consumption</t>
        </is>
      </c>
      <c r="G5" s="11" t="inlineStr">
        <is>
          <t>Variance</t>
        </is>
      </c>
      <c r="H5" s="11" t="inlineStr">
        <is>
          <t>Utilisation</t>
        </is>
      </c>
      <c r="I5" s="11" t="inlineStr">
        <is>
          <t>Flag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FY2024-25</t>
        </is>
      </c>
      <c r="D6" s="22" t="inlineStr">
        <is>
          <t>Equipment</t>
        </is>
      </c>
      <c r="E6" s="23" t="n">
        <v>2159000</v>
      </c>
      <c r="F6" s="23" t="n">
        <v>1446.24</v>
      </c>
      <c r="G6" s="23" t="n">
        <v>2157553.76</v>
      </c>
      <c r="H6" s="31" t="n">
        <v>0.0007</v>
      </c>
      <c r="I6" s="22" t="inlineStr">
        <is>
          <t>Within</t>
        </is>
      </c>
    </row>
    <row r="7">
      <c r="A7" s="22" t="inlineStr">
        <is>
          <t>PRJ-001</t>
        </is>
      </c>
      <c r="B7" s="22" t="inlineStr">
        <is>
          <t>Maternal &amp; Child Health Programme - Korangi</t>
        </is>
      </c>
      <c r="C7" s="22" t="inlineStr">
        <is>
          <t>FY2024-25</t>
        </is>
      </c>
      <c r="D7" s="22" t="inlineStr">
        <is>
          <t>General Items</t>
        </is>
      </c>
      <c r="E7" s="23" t="n">
        <v>1873000</v>
      </c>
      <c r="F7" s="23" t="n">
        <v>831348.83</v>
      </c>
      <c r="G7" s="23" t="n">
        <v>1041651.17</v>
      </c>
      <c r="H7" s="31" t="n">
        <v>0.4439</v>
      </c>
      <c r="I7" s="22" t="inlineStr">
        <is>
          <t>Within</t>
        </is>
      </c>
    </row>
    <row r="8">
      <c r="A8" s="22" t="inlineStr">
        <is>
          <t>PRJ-001</t>
        </is>
      </c>
      <c r="B8" s="22" t="inlineStr">
        <is>
          <t>Maternal &amp; Child Health Programme - Korangi</t>
        </is>
      </c>
      <c r="C8" s="22" t="inlineStr">
        <is>
          <t>FY2024-25</t>
        </is>
      </c>
      <c r="D8" s="22" t="inlineStr">
        <is>
          <t>Laboratory</t>
        </is>
      </c>
      <c r="E8" s="23" t="n">
        <v>1871000</v>
      </c>
      <c r="F8" s="23" t="n">
        <v>1441922.87</v>
      </c>
      <c r="G8" s="23" t="n">
        <v>429077.13</v>
      </c>
      <c r="H8" s="31" t="n">
        <v>0.7707000000000001</v>
      </c>
      <c r="I8" s="22" t="inlineStr">
        <is>
          <t>Within</t>
        </is>
      </c>
    </row>
    <row r="9">
      <c r="A9" s="22" t="inlineStr">
        <is>
          <t>PRJ-001</t>
        </is>
      </c>
      <c r="B9" s="22" t="inlineStr">
        <is>
          <t>Maternal &amp; Child Health Programme - Korangi</t>
        </is>
      </c>
      <c r="C9" s="22" t="inlineStr">
        <is>
          <t>FY2024-25</t>
        </is>
      </c>
      <c r="D9" s="22" t="inlineStr">
        <is>
          <t>Medical Consumables</t>
        </is>
      </c>
      <c r="E9" s="23" t="n">
        <v>4708000</v>
      </c>
      <c r="F9" s="23" t="n">
        <v>8088927.17</v>
      </c>
      <c r="G9" s="23" t="n">
        <v>-3380927.17</v>
      </c>
      <c r="H9" s="31" t="n">
        <v>1.7181</v>
      </c>
      <c r="I9" s="22" t="inlineStr">
        <is>
          <t>Over budget</t>
        </is>
      </c>
    </row>
    <row r="10">
      <c r="A10" s="22" t="inlineStr">
        <is>
          <t>PRJ-001</t>
        </is>
      </c>
      <c r="B10" s="22" t="inlineStr">
        <is>
          <t>Maternal &amp; Child Health Programme - Korangi</t>
        </is>
      </c>
      <c r="C10" s="22" t="inlineStr">
        <is>
          <t>FY2024-25</t>
        </is>
      </c>
      <c r="D10" s="22" t="inlineStr">
        <is>
          <t>Medicines</t>
        </is>
      </c>
      <c r="E10" s="23" t="n">
        <v>10020000</v>
      </c>
      <c r="F10" s="23" t="n">
        <v>7874077.32</v>
      </c>
      <c r="G10" s="23" t="n">
        <v>2145922.68</v>
      </c>
      <c r="H10" s="31" t="n">
        <v>0.7858000000000001</v>
      </c>
      <c r="I10" s="22" t="inlineStr">
        <is>
          <t>Within</t>
        </is>
      </c>
    </row>
    <row r="11">
      <c r="A11" s="22" t="inlineStr">
        <is>
          <t>PRJ-001</t>
        </is>
      </c>
      <c r="B11" s="22" t="inlineStr">
        <is>
          <t>Maternal &amp; Child Health Programme - Korangi</t>
        </is>
      </c>
      <c r="C11" s="22" t="inlineStr">
        <is>
          <t>FY2024-25</t>
        </is>
      </c>
      <c r="D11" s="22" t="inlineStr">
        <is>
          <t>Nutrition</t>
        </is>
      </c>
      <c r="E11" s="23" t="n">
        <v>5398000</v>
      </c>
      <c r="F11" s="23" t="n">
        <v>5075692.92</v>
      </c>
      <c r="G11" s="23" t="n">
        <v>322307.08</v>
      </c>
      <c r="H11" s="31" t="n">
        <v>0.9403</v>
      </c>
      <c r="I11" s="22" t="inlineStr">
        <is>
          <t>Watch</t>
        </is>
      </c>
    </row>
    <row r="12">
      <c r="A12" s="22" t="inlineStr">
        <is>
          <t>PRJ-001</t>
        </is>
      </c>
      <c r="B12" s="22" t="inlineStr">
        <is>
          <t>Maternal &amp; Child Health Programme - Korangi</t>
        </is>
      </c>
      <c r="C12" s="22" t="inlineStr">
        <is>
          <t>FY2025-26</t>
        </is>
      </c>
      <c r="D12" s="22" t="inlineStr">
        <is>
          <t>Equipment</t>
        </is>
      </c>
      <c r="E12" s="23" t="n">
        <v>2064000</v>
      </c>
      <c r="F12" s="23" t="n">
        <v>0</v>
      </c>
      <c r="G12" s="23" t="n">
        <v>2064000</v>
      </c>
      <c r="H12" s="31" t="n">
        <v>0</v>
      </c>
      <c r="I12" s="22" t="inlineStr">
        <is>
          <t>Within</t>
        </is>
      </c>
    </row>
    <row r="13">
      <c r="A13" s="22" t="inlineStr">
        <is>
          <t>PRJ-001</t>
        </is>
      </c>
      <c r="B13" s="22" t="inlineStr">
        <is>
          <t>Maternal &amp; Child Health Programme - Korangi</t>
        </is>
      </c>
      <c r="C13" s="22" t="inlineStr">
        <is>
          <t>FY2025-26</t>
        </is>
      </c>
      <c r="D13" s="22" t="inlineStr">
        <is>
          <t>General Items</t>
        </is>
      </c>
      <c r="E13" s="23" t="n">
        <v>1698000</v>
      </c>
      <c r="F13" s="23" t="n">
        <v>897813.09</v>
      </c>
      <c r="G13" s="23" t="n">
        <v>800186.91</v>
      </c>
      <c r="H13" s="31" t="n">
        <v>0.5286999999999999</v>
      </c>
      <c r="I13" s="22" t="inlineStr">
        <is>
          <t>Within</t>
        </is>
      </c>
    </row>
    <row r="14">
      <c r="A14" s="22" t="inlineStr">
        <is>
          <t>PRJ-001</t>
        </is>
      </c>
      <c r="B14" s="22" t="inlineStr">
        <is>
          <t>Maternal &amp; Child Health Programme - Korangi</t>
        </is>
      </c>
      <c r="C14" s="22" t="inlineStr">
        <is>
          <t>FY2025-26</t>
        </is>
      </c>
      <c r="D14" s="22" t="inlineStr">
        <is>
          <t>Laboratory</t>
        </is>
      </c>
      <c r="E14" s="23" t="n">
        <v>1850000</v>
      </c>
      <c r="F14" s="23" t="n">
        <v>1775596.71</v>
      </c>
      <c r="G14" s="23" t="n">
        <v>74403.28999999999</v>
      </c>
      <c r="H14" s="31" t="n">
        <v>0.9598</v>
      </c>
      <c r="I14" s="22" t="inlineStr">
        <is>
          <t>Watch</t>
        </is>
      </c>
    </row>
    <row r="15">
      <c r="A15" s="22" t="inlineStr">
        <is>
          <t>PRJ-001</t>
        </is>
      </c>
      <c r="B15" s="22" t="inlineStr">
        <is>
          <t>Maternal &amp; Child Health Programme - Korangi</t>
        </is>
      </c>
      <c r="C15" s="22" t="inlineStr">
        <is>
          <t>FY2025-26</t>
        </is>
      </c>
      <c r="D15" s="22" t="inlineStr">
        <is>
          <t>Medical Consumables</t>
        </is>
      </c>
      <c r="E15" s="23" t="n">
        <v>4814000</v>
      </c>
      <c r="F15" s="23" t="n">
        <v>9754907.92</v>
      </c>
      <c r="G15" s="23" t="n">
        <v>-4940907.92</v>
      </c>
      <c r="H15" s="31" t="n">
        <v>2.0264</v>
      </c>
      <c r="I15" s="22" t="inlineStr">
        <is>
          <t>Over budget</t>
        </is>
      </c>
    </row>
    <row r="16">
      <c r="A16" s="22" t="inlineStr">
        <is>
          <t>PRJ-001</t>
        </is>
      </c>
      <c r="B16" s="22" t="inlineStr">
        <is>
          <t>Maternal &amp; Child Health Programme - Korangi</t>
        </is>
      </c>
      <c r="C16" s="22" t="inlineStr">
        <is>
          <t>FY2025-26</t>
        </is>
      </c>
      <c r="D16" s="22" t="inlineStr">
        <is>
          <t>Medicines</t>
        </is>
      </c>
      <c r="E16" s="23" t="n">
        <v>9834000</v>
      </c>
      <c r="F16" s="23" t="n">
        <v>9721144.199999999</v>
      </c>
      <c r="G16" s="23" t="n">
        <v>112855.8</v>
      </c>
      <c r="H16" s="31" t="n">
        <v>0.9885</v>
      </c>
      <c r="I16" s="22" t="inlineStr">
        <is>
          <t>Watch</t>
        </is>
      </c>
    </row>
    <row r="17">
      <c r="A17" s="22" t="inlineStr">
        <is>
          <t>PRJ-001</t>
        </is>
      </c>
      <c r="B17" s="22" t="inlineStr">
        <is>
          <t>Maternal &amp; Child Health Programme - Korangi</t>
        </is>
      </c>
      <c r="C17" s="22" t="inlineStr">
        <is>
          <t>FY2025-26</t>
        </is>
      </c>
      <c r="D17" s="22" t="inlineStr">
        <is>
          <t>Nutrition</t>
        </is>
      </c>
      <c r="E17" s="23" t="n">
        <v>4807000</v>
      </c>
      <c r="F17" s="23" t="n">
        <v>5970404.16</v>
      </c>
      <c r="G17" s="23" t="n">
        <v>-1163404.16</v>
      </c>
      <c r="H17" s="31" t="n">
        <v>1.242</v>
      </c>
      <c r="I17" s="22" t="inlineStr">
        <is>
          <t>Over budget</t>
        </is>
      </c>
    </row>
    <row r="18">
      <c r="A18" s="22" t="inlineStr">
        <is>
          <t>PRJ-001</t>
        </is>
      </c>
      <c r="B18" s="22" t="inlineStr">
        <is>
          <t>Maternal &amp; Child Health Programme - Korangi</t>
        </is>
      </c>
      <c r="C18" s="22" t="inlineStr">
        <is>
          <t>FY2026-27</t>
        </is>
      </c>
      <c r="D18" s="22" t="inlineStr">
        <is>
          <t>Equipment</t>
        </is>
      </c>
      <c r="E18" s="23" t="n">
        <v>1036000</v>
      </c>
      <c r="F18" s="23" t="n">
        <v>0</v>
      </c>
      <c r="G18" s="23" t="n">
        <v>1036000</v>
      </c>
      <c r="H18" s="31" t="n">
        <v>0</v>
      </c>
      <c r="I18" s="22" t="inlineStr">
        <is>
          <t>Within</t>
        </is>
      </c>
    </row>
    <row r="19">
      <c r="A19" s="22" t="inlineStr">
        <is>
          <t>PRJ-001</t>
        </is>
      </c>
      <c r="B19" s="22" t="inlineStr">
        <is>
          <t>Maternal &amp; Child Health Programme - Korangi</t>
        </is>
      </c>
      <c r="C19" s="22" t="inlineStr">
        <is>
          <t>FY2026-27</t>
        </is>
      </c>
      <c r="D19" s="22" t="inlineStr">
        <is>
          <t>General Items</t>
        </is>
      </c>
      <c r="E19" s="23" t="n">
        <v>910000</v>
      </c>
      <c r="F19" s="23" t="n">
        <v>252887.95</v>
      </c>
      <c r="G19" s="23" t="n">
        <v>657112.05</v>
      </c>
      <c r="H19" s="31" t="n">
        <v>0.2779</v>
      </c>
      <c r="I19" s="22" t="inlineStr">
        <is>
          <t>Within</t>
        </is>
      </c>
    </row>
    <row r="20">
      <c r="A20" s="22" t="inlineStr">
        <is>
          <t>PRJ-001</t>
        </is>
      </c>
      <c r="B20" s="22" t="inlineStr">
        <is>
          <t>Maternal &amp; Child Health Programme - Korangi</t>
        </is>
      </c>
      <c r="C20" s="22" t="inlineStr">
        <is>
          <t>FY2026-27</t>
        </is>
      </c>
      <c r="D20" s="22" t="inlineStr">
        <is>
          <t>Laboratory</t>
        </is>
      </c>
      <c r="E20" s="23" t="n">
        <v>966000</v>
      </c>
      <c r="F20" s="23" t="n">
        <v>580440.55</v>
      </c>
      <c r="G20" s="23" t="n">
        <v>385559.45</v>
      </c>
      <c r="H20" s="31" t="n">
        <v>0.6009</v>
      </c>
      <c r="I20" s="22" t="inlineStr">
        <is>
          <t>Within</t>
        </is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22" t="inlineStr">
        <is>
          <t>FY2026-27</t>
        </is>
      </c>
      <c r="D21" s="22" t="inlineStr">
        <is>
          <t>Medical Consumables</t>
        </is>
      </c>
      <c r="E21" s="23" t="n">
        <v>2453000</v>
      </c>
      <c r="F21" s="23" t="n">
        <v>2971779.86</v>
      </c>
      <c r="G21" s="23" t="n">
        <v>-518779.86</v>
      </c>
      <c r="H21" s="31" t="n">
        <v>1.2115</v>
      </c>
      <c r="I21" s="22" t="inlineStr">
        <is>
          <t>Over budget</t>
        </is>
      </c>
    </row>
    <row r="22">
      <c r="A22" s="22" t="inlineStr">
        <is>
          <t>PRJ-001</t>
        </is>
      </c>
      <c r="B22" s="22" t="inlineStr">
        <is>
          <t>Maternal &amp; Child Health Programme - Korangi</t>
        </is>
      </c>
      <c r="C22" s="22" t="inlineStr">
        <is>
          <t>FY2026-27</t>
        </is>
      </c>
      <c r="D22" s="22" t="inlineStr">
        <is>
          <t>Medicines</t>
        </is>
      </c>
      <c r="E22" s="23" t="n">
        <v>4996000</v>
      </c>
      <c r="F22" s="23" t="n">
        <v>2664456.94</v>
      </c>
      <c r="G22" s="23" t="n">
        <v>2331543.06</v>
      </c>
      <c r="H22" s="31" t="n">
        <v>0.5333</v>
      </c>
      <c r="I22" s="22" t="inlineStr">
        <is>
          <t>Within</t>
        </is>
      </c>
    </row>
    <row r="23">
      <c r="A23" s="22" t="inlineStr">
        <is>
          <t>PRJ-001</t>
        </is>
      </c>
      <c r="B23" s="22" t="inlineStr">
        <is>
          <t>Maternal &amp; Child Health Programme - Korangi</t>
        </is>
      </c>
      <c r="C23" s="22" t="inlineStr">
        <is>
          <t>FY2026-27</t>
        </is>
      </c>
      <c r="D23" s="22" t="inlineStr">
        <is>
          <t>Nutrition</t>
        </is>
      </c>
      <c r="E23" s="23" t="n">
        <v>2742000</v>
      </c>
      <c r="F23" s="23" t="n">
        <v>2069203.62</v>
      </c>
      <c r="G23" s="23" t="n">
        <v>672796.38</v>
      </c>
      <c r="H23" s="31" t="n">
        <v>0.7546</v>
      </c>
      <c r="I23" s="22" t="inlineStr">
        <is>
          <t>Within</t>
        </is>
      </c>
    </row>
    <row r="24">
      <c r="A24" s="22" t="inlineStr">
        <is>
          <t>PRJ-002</t>
        </is>
      </c>
      <c r="B24" s="22" t="inlineStr">
        <is>
          <t>Nutrition Stabilisation Centre - Malir</t>
        </is>
      </c>
      <c r="C24" s="22" t="inlineStr">
        <is>
          <t>FY2024-25</t>
        </is>
      </c>
      <c r="D24" s="22" t="inlineStr">
        <is>
          <t>Equipment</t>
        </is>
      </c>
      <c r="E24" s="23" t="n">
        <v>1652000</v>
      </c>
      <c r="F24" s="23" t="n">
        <v>1446.24</v>
      </c>
      <c r="G24" s="23" t="n">
        <v>1650553.76</v>
      </c>
      <c r="H24" s="31" t="n">
        <v>0.0009</v>
      </c>
      <c r="I24" s="22" t="inlineStr">
        <is>
          <t>Within</t>
        </is>
      </c>
    </row>
    <row r="25">
      <c r="A25" s="22" t="inlineStr">
        <is>
          <t>PRJ-002</t>
        </is>
      </c>
      <c r="B25" s="22" t="inlineStr">
        <is>
          <t>Nutrition Stabilisation Centre - Malir</t>
        </is>
      </c>
      <c r="C25" s="22" t="inlineStr">
        <is>
          <t>FY2024-25</t>
        </is>
      </c>
      <c r="D25" s="22" t="inlineStr">
        <is>
          <t>General Items</t>
        </is>
      </c>
      <c r="E25" s="23" t="n">
        <v>1226000</v>
      </c>
      <c r="F25" s="23" t="n">
        <v>476049.08</v>
      </c>
      <c r="G25" s="23" t="n">
        <v>749950.92</v>
      </c>
      <c r="H25" s="31" t="n">
        <v>0.3883</v>
      </c>
      <c r="I25" s="22" t="inlineStr">
        <is>
          <t>Within</t>
        </is>
      </c>
    </row>
    <row r="26">
      <c r="A26" s="22" t="inlineStr">
        <is>
          <t>PRJ-002</t>
        </is>
      </c>
      <c r="B26" s="22" t="inlineStr">
        <is>
          <t>Nutrition Stabilisation Centre - Malir</t>
        </is>
      </c>
      <c r="C26" s="22" t="inlineStr">
        <is>
          <t>FY2024-25</t>
        </is>
      </c>
      <c r="D26" s="22" t="inlineStr">
        <is>
          <t>Laboratory</t>
        </is>
      </c>
      <c r="E26" s="23" t="n">
        <v>1267000</v>
      </c>
      <c r="F26" s="23" t="n">
        <v>762779.09</v>
      </c>
      <c r="G26" s="23" t="n">
        <v>504220.91</v>
      </c>
      <c r="H26" s="31" t="n">
        <v>0.602</v>
      </c>
      <c r="I26" s="22" t="inlineStr">
        <is>
          <t>Within</t>
        </is>
      </c>
    </row>
    <row r="27">
      <c r="A27" s="22" t="inlineStr">
        <is>
          <t>PRJ-002</t>
        </is>
      </c>
      <c r="B27" s="22" t="inlineStr">
        <is>
          <t>Nutrition Stabilisation Centre - Malir</t>
        </is>
      </c>
      <c r="C27" s="22" t="inlineStr">
        <is>
          <t>FY2024-25</t>
        </is>
      </c>
      <c r="D27" s="22" t="inlineStr">
        <is>
          <t>Medical Consumables</t>
        </is>
      </c>
      <c r="E27" s="23" t="n">
        <v>3335000</v>
      </c>
      <c r="F27" s="23" t="n">
        <v>3053314.54</v>
      </c>
      <c r="G27" s="23" t="n">
        <v>281685.46</v>
      </c>
      <c r="H27" s="31" t="n">
        <v>0.9155</v>
      </c>
      <c r="I27" s="22" t="inlineStr">
        <is>
          <t>Watch</t>
        </is>
      </c>
    </row>
    <row r="28">
      <c r="A28" s="22" t="inlineStr">
        <is>
          <t>PRJ-002</t>
        </is>
      </c>
      <c r="B28" s="22" t="inlineStr">
        <is>
          <t>Nutrition Stabilisation Centre - Malir</t>
        </is>
      </c>
      <c r="C28" s="22" t="inlineStr">
        <is>
          <t>FY2024-25</t>
        </is>
      </c>
      <c r="D28" s="22" t="inlineStr">
        <is>
          <t>Medicines</t>
        </is>
      </c>
      <c r="E28" s="23" t="n">
        <v>6574000</v>
      </c>
      <c r="F28" s="23" t="n">
        <v>3123480.33</v>
      </c>
      <c r="G28" s="23" t="n">
        <v>3450519.67</v>
      </c>
      <c r="H28" s="31" t="n">
        <v>0.4751</v>
      </c>
      <c r="I28" s="22" t="inlineStr">
        <is>
          <t>Within</t>
        </is>
      </c>
    </row>
    <row r="29">
      <c r="A29" s="22" t="inlineStr">
        <is>
          <t>PRJ-002</t>
        </is>
      </c>
      <c r="B29" s="22" t="inlineStr">
        <is>
          <t>Nutrition Stabilisation Centre - Malir</t>
        </is>
      </c>
      <c r="C29" s="22" t="inlineStr">
        <is>
          <t>FY2024-25</t>
        </is>
      </c>
      <c r="D29" s="22" t="inlineStr">
        <is>
          <t>Nutrition</t>
        </is>
      </c>
      <c r="E29" s="23" t="n">
        <v>3449000</v>
      </c>
      <c r="F29" s="23" t="n">
        <v>10453392.84</v>
      </c>
      <c r="G29" s="23" t="n">
        <v>-7004392.84</v>
      </c>
      <c r="H29" s="31" t="n">
        <v>3.0308</v>
      </c>
      <c r="I29" s="22" t="inlineStr">
        <is>
          <t>Over budget</t>
        </is>
      </c>
    </row>
    <row r="30">
      <c r="A30" s="22" t="inlineStr">
        <is>
          <t>PRJ-002</t>
        </is>
      </c>
      <c r="B30" s="22" t="inlineStr">
        <is>
          <t>Nutrition Stabilisation Centre - Malir</t>
        </is>
      </c>
      <c r="C30" s="22" t="inlineStr">
        <is>
          <t>FY2025-26</t>
        </is>
      </c>
      <c r="D30" s="22" t="inlineStr">
        <is>
          <t>Equipment</t>
        </is>
      </c>
      <c r="E30" s="23" t="n">
        <v>1299000</v>
      </c>
      <c r="F30" s="23" t="n">
        <v>0</v>
      </c>
      <c r="G30" s="23" t="n">
        <v>1299000</v>
      </c>
      <c r="H30" s="31" t="n">
        <v>0</v>
      </c>
      <c r="I30" s="22" t="inlineStr">
        <is>
          <t>Within</t>
        </is>
      </c>
    </row>
    <row r="31">
      <c r="A31" s="22" t="inlineStr">
        <is>
          <t>PRJ-002</t>
        </is>
      </c>
      <c r="B31" s="22" t="inlineStr">
        <is>
          <t>Nutrition Stabilisation Centre - Malir</t>
        </is>
      </c>
      <c r="C31" s="22" t="inlineStr">
        <is>
          <t>FY2025-26</t>
        </is>
      </c>
      <c r="D31" s="22" t="inlineStr">
        <is>
          <t>General Items</t>
        </is>
      </c>
      <c r="E31" s="23" t="n">
        <v>1160000</v>
      </c>
      <c r="F31" s="23" t="n">
        <v>650079.1899999999</v>
      </c>
      <c r="G31" s="23" t="n">
        <v>509920.81</v>
      </c>
      <c r="H31" s="31" t="n">
        <v>0.5604</v>
      </c>
      <c r="I31" s="22" t="inlineStr">
        <is>
          <t>Within</t>
        </is>
      </c>
    </row>
    <row r="32">
      <c r="A32" s="22" t="inlineStr">
        <is>
          <t>PRJ-002</t>
        </is>
      </c>
      <c r="B32" s="22" t="inlineStr">
        <is>
          <t>Nutrition Stabilisation Centre - Malir</t>
        </is>
      </c>
      <c r="C32" s="22" t="inlineStr">
        <is>
          <t>FY2025-26</t>
        </is>
      </c>
      <c r="D32" s="22" t="inlineStr">
        <is>
          <t>Laboratory</t>
        </is>
      </c>
      <c r="E32" s="23" t="n">
        <v>1189000</v>
      </c>
      <c r="F32" s="23" t="n">
        <v>851797.91</v>
      </c>
      <c r="G32" s="23" t="n">
        <v>337202.09</v>
      </c>
      <c r="H32" s="31" t="n">
        <v>0.7164</v>
      </c>
      <c r="I32" s="22" t="inlineStr">
        <is>
          <t>Within</t>
        </is>
      </c>
    </row>
    <row r="33">
      <c r="A33" s="22" t="inlineStr">
        <is>
          <t>PRJ-002</t>
        </is>
      </c>
      <c r="B33" s="22" t="inlineStr">
        <is>
          <t>Nutrition Stabilisation Centre - Malir</t>
        </is>
      </c>
      <c r="C33" s="22" t="inlineStr">
        <is>
          <t>FY2025-26</t>
        </is>
      </c>
      <c r="D33" s="22" t="inlineStr">
        <is>
          <t>Medical Consumables</t>
        </is>
      </c>
      <c r="E33" s="23" t="n">
        <v>2783000</v>
      </c>
      <c r="F33" s="23" t="n">
        <v>3452603.92</v>
      </c>
      <c r="G33" s="23" t="n">
        <v>-669603.92</v>
      </c>
      <c r="H33" s="31" t="n">
        <v>1.2406</v>
      </c>
      <c r="I33" s="22" t="inlineStr">
        <is>
          <t>Over budget</t>
        </is>
      </c>
    </row>
    <row r="34">
      <c r="A34" s="22" t="inlineStr">
        <is>
          <t>PRJ-002</t>
        </is>
      </c>
      <c r="B34" s="22" t="inlineStr">
        <is>
          <t>Nutrition Stabilisation Centre - Malir</t>
        </is>
      </c>
      <c r="C34" s="22" t="inlineStr">
        <is>
          <t>FY2025-26</t>
        </is>
      </c>
      <c r="D34" s="22" t="inlineStr">
        <is>
          <t>Medicines</t>
        </is>
      </c>
      <c r="E34" s="23" t="n">
        <v>6392000</v>
      </c>
      <c r="F34" s="23" t="n">
        <v>3416175.46</v>
      </c>
      <c r="G34" s="23" t="n">
        <v>2975824.54</v>
      </c>
      <c r="H34" s="31" t="n">
        <v>0.5344</v>
      </c>
      <c r="I34" s="22" t="inlineStr">
        <is>
          <t>Within</t>
        </is>
      </c>
    </row>
    <row r="35">
      <c r="A35" s="22" t="inlineStr">
        <is>
          <t>PRJ-002</t>
        </is>
      </c>
      <c r="B35" s="22" t="inlineStr">
        <is>
          <t>Nutrition Stabilisation Centre - Malir</t>
        </is>
      </c>
      <c r="C35" s="22" t="inlineStr">
        <is>
          <t>FY2025-26</t>
        </is>
      </c>
      <c r="D35" s="22" t="inlineStr">
        <is>
          <t>Nutrition</t>
        </is>
      </c>
      <c r="E35" s="23" t="n">
        <v>3311000</v>
      </c>
      <c r="F35" s="23" t="n">
        <v>12738200.82</v>
      </c>
      <c r="G35" s="23" t="n">
        <v>-9427200.82</v>
      </c>
      <c r="H35" s="31" t="n">
        <v>3.8472</v>
      </c>
      <c r="I35" s="22" t="inlineStr">
        <is>
          <t>Over budget</t>
        </is>
      </c>
    </row>
    <row r="36">
      <c r="A36" s="22" t="inlineStr">
        <is>
          <t>PRJ-002</t>
        </is>
      </c>
      <c r="B36" s="22" t="inlineStr">
        <is>
          <t>Nutrition Stabilisation Centre - Malir</t>
        </is>
      </c>
      <c r="C36" s="22" t="inlineStr">
        <is>
          <t>FY2026-27</t>
        </is>
      </c>
      <c r="D36" s="22" t="inlineStr">
        <is>
          <t>Equipment</t>
        </is>
      </c>
      <c r="E36" s="23" t="n">
        <v>760000</v>
      </c>
      <c r="F36" s="23" t="n">
        <v>6782.37</v>
      </c>
      <c r="G36" s="23" t="n">
        <v>753217.63</v>
      </c>
      <c r="H36" s="31" t="n">
        <v>0.0089</v>
      </c>
      <c r="I36" s="22" t="inlineStr">
        <is>
          <t>Within</t>
        </is>
      </c>
    </row>
    <row r="37">
      <c r="A37" s="22" t="inlineStr">
        <is>
          <t>PRJ-002</t>
        </is>
      </c>
      <c r="B37" s="22" t="inlineStr">
        <is>
          <t>Nutrition Stabilisation Centre - Malir</t>
        </is>
      </c>
      <c r="C37" s="22" t="inlineStr">
        <is>
          <t>FY2026-27</t>
        </is>
      </c>
      <c r="D37" s="22" t="inlineStr">
        <is>
          <t>General Items</t>
        </is>
      </c>
      <c r="E37" s="23" t="n">
        <v>629000</v>
      </c>
      <c r="F37" s="23" t="n">
        <v>89468.64999999999</v>
      </c>
      <c r="G37" s="23" t="n">
        <v>539531.35</v>
      </c>
      <c r="H37" s="31" t="n">
        <v>0.1422</v>
      </c>
      <c r="I37" s="22" t="inlineStr">
        <is>
          <t>Within</t>
        </is>
      </c>
    </row>
    <row r="38">
      <c r="A38" s="22" t="inlineStr">
        <is>
          <t>PRJ-002</t>
        </is>
      </c>
      <c r="B38" s="22" t="inlineStr">
        <is>
          <t>Nutrition Stabilisation Centre - Malir</t>
        </is>
      </c>
      <c r="C38" s="22" t="inlineStr">
        <is>
          <t>FY2026-27</t>
        </is>
      </c>
      <c r="D38" s="22" t="inlineStr">
        <is>
          <t>Laboratory</t>
        </is>
      </c>
      <c r="E38" s="23" t="n">
        <v>611000</v>
      </c>
      <c r="F38" s="23" t="n">
        <v>178458.82</v>
      </c>
      <c r="G38" s="23" t="n">
        <v>432541.18</v>
      </c>
      <c r="H38" s="31" t="n">
        <v>0.2921</v>
      </c>
      <c r="I38" s="22" t="inlineStr">
        <is>
          <t>Within</t>
        </is>
      </c>
    </row>
    <row r="39">
      <c r="A39" s="22" t="inlineStr">
        <is>
          <t>PRJ-002</t>
        </is>
      </c>
      <c r="B39" s="22" t="inlineStr">
        <is>
          <t>Nutrition Stabilisation Centre - Malir</t>
        </is>
      </c>
      <c r="C39" s="22" t="inlineStr">
        <is>
          <t>FY2026-27</t>
        </is>
      </c>
      <c r="D39" s="22" t="inlineStr">
        <is>
          <t>Medical Consumables</t>
        </is>
      </c>
      <c r="E39" s="23" t="n">
        <v>1704000</v>
      </c>
      <c r="F39" s="23" t="n">
        <v>1191333.02</v>
      </c>
      <c r="G39" s="23" t="n">
        <v>512666.98</v>
      </c>
      <c r="H39" s="31" t="n">
        <v>0.6991000000000001</v>
      </c>
      <c r="I39" s="22" t="inlineStr">
        <is>
          <t>Within</t>
        </is>
      </c>
    </row>
    <row r="40">
      <c r="A40" s="22" t="inlineStr">
        <is>
          <t>PRJ-002</t>
        </is>
      </c>
      <c r="B40" s="22" t="inlineStr">
        <is>
          <t>Nutrition Stabilisation Centre - Malir</t>
        </is>
      </c>
      <c r="C40" s="22" t="inlineStr">
        <is>
          <t>FY2026-27</t>
        </is>
      </c>
      <c r="D40" s="22" t="inlineStr">
        <is>
          <t>Medicines</t>
        </is>
      </c>
      <c r="E40" s="23" t="n">
        <v>3194000</v>
      </c>
      <c r="F40" s="23" t="n">
        <v>980275.89</v>
      </c>
      <c r="G40" s="23" t="n">
        <v>2213724.11</v>
      </c>
      <c r="H40" s="31" t="n">
        <v>0.3069</v>
      </c>
      <c r="I40" s="22" t="inlineStr">
        <is>
          <t>Within</t>
        </is>
      </c>
    </row>
    <row r="41">
      <c r="A41" s="22" t="inlineStr">
        <is>
          <t>PRJ-002</t>
        </is>
      </c>
      <c r="B41" s="22" t="inlineStr">
        <is>
          <t>Nutrition Stabilisation Centre - Malir</t>
        </is>
      </c>
      <c r="C41" s="22" t="inlineStr">
        <is>
          <t>FY2026-27</t>
        </is>
      </c>
      <c r="D41" s="22" t="inlineStr">
        <is>
          <t>Nutrition</t>
        </is>
      </c>
      <c r="E41" s="23" t="n">
        <v>1644000</v>
      </c>
      <c r="F41" s="23" t="n">
        <v>3602435.78</v>
      </c>
      <c r="G41" s="23" t="n">
        <v>-1958435.78</v>
      </c>
      <c r="H41" s="31" t="n">
        <v>2.1913</v>
      </c>
      <c r="I41" s="22" t="inlineStr">
        <is>
          <t>Over budget</t>
        </is>
      </c>
    </row>
    <row r="42">
      <c r="A42" s="22" t="inlineStr">
        <is>
          <t>PRJ-003</t>
        </is>
      </c>
      <c r="B42" s="22" t="inlineStr">
        <is>
          <t>TB DOTS Expansion - Karachi South</t>
        </is>
      </c>
      <c r="C42" s="22" t="inlineStr">
        <is>
          <t>FY2024-25</t>
        </is>
      </c>
      <c r="D42" s="22" t="inlineStr">
        <is>
          <t>Equipment</t>
        </is>
      </c>
      <c r="E42" s="23" t="n">
        <v>1928000</v>
      </c>
      <c r="F42" s="23" t="n">
        <v>0</v>
      </c>
      <c r="G42" s="23" t="n">
        <v>1928000</v>
      </c>
      <c r="H42" s="31" t="n">
        <v>0</v>
      </c>
      <c r="I42" s="22" t="inlineStr">
        <is>
          <t>Within</t>
        </is>
      </c>
    </row>
    <row r="43">
      <c r="A43" s="22" t="inlineStr">
        <is>
          <t>PRJ-003</t>
        </is>
      </c>
      <c r="B43" s="22" t="inlineStr">
        <is>
          <t>TB DOTS Expansion - Karachi South</t>
        </is>
      </c>
      <c r="C43" s="22" t="inlineStr">
        <is>
          <t>FY2024-25</t>
        </is>
      </c>
      <c r="D43" s="22" t="inlineStr">
        <is>
          <t>General Items</t>
        </is>
      </c>
      <c r="E43" s="23" t="n">
        <v>1615000</v>
      </c>
      <c r="F43" s="23" t="n">
        <v>620260.02</v>
      </c>
      <c r="G43" s="23" t="n">
        <v>994739.98</v>
      </c>
      <c r="H43" s="31" t="n">
        <v>0.3841</v>
      </c>
      <c r="I43" s="22" t="inlineStr">
        <is>
          <t>Within</t>
        </is>
      </c>
    </row>
    <row r="44">
      <c r="A44" s="22" t="inlineStr">
        <is>
          <t>PRJ-003</t>
        </is>
      </c>
      <c r="B44" s="22" t="inlineStr">
        <is>
          <t>TB DOTS Expansion - Karachi South</t>
        </is>
      </c>
      <c r="C44" s="22" t="inlineStr">
        <is>
          <t>FY2024-25</t>
        </is>
      </c>
      <c r="D44" s="22" t="inlineStr">
        <is>
          <t>Laboratory</t>
        </is>
      </c>
      <c r="E44" s="23" t="n">
        <v>1541000</v>
      </c>
      <c r="F44" s="23" t="n">
        <v>2889426.95</v>
      </c>
      <c r="G44" s="23" t="n">
        <v>-1348426.95</v>
      </c>
      <c r="H44" s="31" t="n">
        <v>1.875</v>
      </c>
      <c r="I44" s="22" t="inlineStr">
        <is>
          <t>Over budget</t>
        </is>
      </c>
    </row>
    <row r="45">
      <c r="A45" s="22" t="inlineStr">
        <is>
          <t>PRJ-003</t>
        </is>
      </c>
      <c r="B45" s="22" t="inlineStr">
        <is>
          <t>TB DOTS Expansion - Karachi South</t>
        </is>
      </c>
      <c r="C45" s="22" t="inlineStr">
        <is>
          <t>FY2024-25</t>
        </is>
      </c>
      <c r="D45" s="22" t="inlineStr">
        <is>
          <t>Medical Consumables</t>
        </is>
      </c>
      <c r="E45" s="23" t="n">
        <v>4023000</v>
      </c>
      <c r="F45" s="23" t="n">
        <v>2899619.51</v>
      </c>
      <c r="G45" s="23" t="n">
        <v>1123380.49</v>
      </c>
      <c r="H45" s="31" t="n">
        <v>0.7208</v>
      </c>
      <c r="I45" s="22" t="inlineStr">
        <is>
          <t>Within</t>
        </is>
      </c>
    </row>
    <row r="46">
      <c r="A46" s="22" t="inlineStr">
        <is>
          <t>PRJ-003</t>
        </is>
      </c>
      <c r="B46" s="22" t="inlineStr">
        <is>
          <t>TB DOTS Expansion - Karachi South</t>
        </is>
      </c>
      <c r="C46" s="22" t="inlineStr">
        <is>
          <t>FY2024-25</t>
        </is>
      </c>
      <c r="D46" s="22" t="inlineStr">
        <is>
          <t>Medicines</t>
        </is>
      </c>
      <c r="E46" s="23" t="n">
        <v>7861000</v>
      </c>
      <c r="F46" s="23" t="n">
        <v>5458483.26</v>
      </c>
      <c r="G46" s="23" t="n">
        <v>2402516.74</v>
      </c>
      <c r="H46" s="31" t="n">
        <v>0.6944</v>
      </c>
      <c r="I46" s="22" t="inlineStr">
        <is>
          <t>Within</t>
        </is>
      </c>
    </row>
    <row r="47">
      <c r="A47" s="22" t="inlineStr">
        <is>
          <t>PRJ-003</t>
        </is>
      </c>
      <c r="B47" s="22" t="inlineStr">
        <is>
          <t>TB DOTS Expansion - Karachi South</t>
        </is>
      </c>
      <c r="C47" s="22" t="inlineStr">
        <is>
          <t>FY2024-25</t>
        </is>
      </c>
      <c r="D47" s="22" t="inlineStr">
        <is>
          <t>Nutrition</t>
        </is>
      </c>
      <c r="E47" s="23" t="n">
        <v>4276000</v>
      </c>
      <c r="F47" s="23" t="n">
        <v>1059407</v>
      </c>
      <c r="G47" s="23" t="n">
        <v>3216593</v>
      </c>
      <c r="H47" s="31" t="n">
        <v>0.2478</v>
      </c>
      <c r="I47" s="22" t="inlineStr">
        <is>
          <t>Within</t>
        </is>
      </c>
    </row>
    <row r="48">
      <c r="A48" s="22" t="inlineStr">
        <is>
          <t>PRJ-003</t>
        </is>
      </c>
      <c r="B48" s="22" t="inlineStr">
        <is>
          <t>TB DOTS Expansion - Karachi South</t>
        </is>
      </c>
      <c r="C48" s="22" t="inlineStr">
        <is>
          <t>FY2025-26</t>
        </is>
      </c>
      <c r="D48" s="22" t="inlineStr">
        <is>
          <t>Equipment</t>
        </is>
      </c>
      <c r="E48" s="23" t="n">
        <v>1736000</v>
      </c>
      <c r="F48" s="23" t="n">
        <v>0</v>
      </c>
      <c r="G48" s="23" t="n">
        <v>1736000</v>
      </c>
      <c r="H48" s="31" t="n">
        <v>0</v>
      </c>
      <c r="I48" s="22" t="inlineStr">
        <is>
          <t>Within</t>
        </is>
      </c>
    </row>
    <row r="49">
      <c r="A49" s="22" t="inlineStr">
        <is>
          <t>PRJ-003</t>
        </is>
      </c>
      <c r="B49" s="22" t="inlineStr">
        <is>
          <t>TB DOTS Expansion - Karachi South</t>
        </is>
      </c>
      <c r="C49" s="22" t="inlineStr">
        <is>
          <t>FY2025-26</t>
        </is>
      </c>
      <c r="D49" s="22" t="inlineStr">
        <is>
          <t>General Items</t>
        </is>
      </c>
      <c r="E49" s="23" t="n">
        <v>1403000</v>
      </c>
      <c r="F49" s="23" t="n">
        <v>724897.74</v>
      </c>
      <c r="G49" s="23" t="n">
        <v>678102.26</v>
      </c>
      <c r="H49" s="31" t="n">
        <v>0.5167</v>
      </c>
      <c r="I49" s="22" t="inlineStr">
        <is>
          <t>Within</t>
        </is>
      </c>
    </row>
    <row r="50">
      <c r="A50" s="22" t="inlineStr">
        <is>
          <t>PRJ-003</t>
        </is>
      </c>
      <c r="B50" s="22" t="inlineStr">
        <is>
          <t>TB DOTS Expansion - Karachi South</t>
        </is>
      </c>
      <c r="C50" s="22" t="inlineStr">
        <is>
          <t>FY2025-26</t>
        </is>
      </c>
      <c r="D50" s="22" t="inlineStr">
        <is>
          <t>Laboratory</t>
        </is>
      </c>
      <c r="E50" s="23" t="n">
        <v>1448000</v>
      </c>
      <c r="F50" s="23" t="n">
        <v>3343505.73</v>
      </c>
      <c r="G50" s="23" t="n">
        <v>-1895505.73</v>
      </c>
      <c r="H50" s="31" t="n">
        <v>2.3091</v>
      </c>
      <c r="I50" s="22" t="inlineStr">
        <is>
          <t>Over budget</t>
        </is>
      </c>
    </row>
    <row r="51">
      <c r="A51" s="22" t="inlineStr">
        <is>
          <t>PRJ-003</t>
        </is>
      </c>
      <c r="B51" s="22" t="inlineStr">
        <is>
          <t>TB DOTS Expansion - Karachi South</t>
        </is>
      </c>
      <c r="C51" s="22" t="inlineStr">
        <is>
          <t>FY2025-26</t>
        </is>
      </c>
      <c r="D51" s="22" t="inlineStr">
        <is>
          <t>Medical Consumables</t>
        </is>
      </c>
      <c r="E51" s="23" t="n">
        <v>3447000</v>
      </c>
      <c r="F51" s="23" t="n">
        <v>3572379.35</v>
      </c>
      <c r="G51" s="23" t="n">
        <v>-125379.35</v>
      </c>
      <c r="H51" s="31" t="n">
        <v>1.0364</v>
      </c>
      <c r="I51" s="22" t="inlineStr">
        <is>
          <t>Over budget</t>
        </is>
      </c>
    </row>
    <row r="52">
      <c r="A52" s="22" t="inlineStr">
        <is>
          <t>PRJ-003</t>
        </is>
      </c>
      <c r="B52" s="22" t="inlineStr">
        <is>
          <t>TB DOTS Expansion - Karachi South</t>
        </is>
      </c>
      <c r="C52" s="22" t="inlineStr">
        <is>
          <t>FY2025-26</t>
        </is>
      </c>
      <c r="D52" s="22" t="inlineStr">
        <is>
          <t>Medicines</t>
        </is>
      </c>
      <c r="E52" s="23" t="n">
        <v>7792000</v>
      </c>
      <c r="F52" s="23" t="n">
        <v>6393562.53</v>
      </c>
      <c r="G52" s="23" t="n">
        <v>1398437.47</v>
      </c>
      <c r="H52" s="31" t="n">
        <v>0.8205</v>
      </c>
      <c r="I52" s="22" t="inlineStr">
        <is>
          <t>Within</t>
        </is>
      </c>
    </row>
    <row r="53">
      <c r="A53" s="22" t="inlineStr">
        <is>
          <t>PRJ-003</t>
        </is>
      </c>
      <c r="B53" s="22" t="inlineStr">
        <is>
          <t>TB DOTS Expansion - Karachi South</t>
        </is>
      </c>
      <c r="C53" s="22" t="inlineStr">
        <is>
          <t>FY2025-26</t>
        </is>
      </c>
      <c r="D53" s="22" t="inlineStr">
        <is>
          <t>Nutrition</t>
        </is>
      </c>
      <c r="E53" s="23" t="n">
        <v>4041000</v>
      </c>
      <c r="F53" s="23" t="n">
        <v>999708.3199999999</v>
      </c>
      <c r="G53" s="23" t="n">
        <v>3041291.68</v>
      </c>
      <c r="H53" s="31" t="n">
        <v>0.2474</v>
      </c>
      <c r="I53" s="22" t="inlineStr">
        <is>
          <t>Within</t>
        </is>
      </c>
    </row>
    <row r="54">
      <c r="A54" s="22" t="inlineStr">
        <is>
          <t>PRJ-003</t>
        </is>
      </c>
      <c r="B54" s="22" t="inlineStr">
        <is>
          <t>TB DOTS Expansion - Karachi South</t>
        </is>
      </c>
      <c r="C54" s="22" t="inlineStr">
        <is>
          <t>FY2026-27</t>
        </is>
      </c>
      <c r="D54" s="22" t="inlineStr">
        <is>
          <t>Equipment</t>
        </is>
      </c>
      <c r="E54" s="23" t="n">
        <v>950000</v>
      </c>
      <c r="F54" s="23" t="n">
        <v>0</v>
      </c>
      <c r="G54" s="23" t="n">
        <v>950000</v>
      </c>
      <c r="H54" s="31" t="n">
        <v>0</v>
      </c>
      <c r="I54" s="22" t="inlineStr">
        <is>
          <t>Within</t>
        </is>
      </c>
    </row>
    <row r="55">
      <c r="A55" s="22" t="inlineStr">
        <is>
          <t>PRJ-003</t>
        </is>
      </c>
      <c r="B55" s="22" t="inlineStr">
        <is>
          <t>TB DOTS Expansion - Karachi South</t>
        </is>
      </c>
      <c r="C55" s="22" t="inlineStr">
        <is>
          <t>FY2026-27</t>
        </is>
      </c>
      <c r="D55" s="22" t="inlineStr">
        <is>
          <t>General Items</t>
        </is>
      </c>
      <c r="E55" s="23" t="n">
        <v>723000</v>
      </c>
      <c r="F55" s="23" t="n">
        <v>209503.89</v>
      </c>
      <c r="G55" s="23" t="n">
        <v>513496.11</v>
      </c>
      <c r="H55" s="31" t="n">
        <v>0.2898</v>
      </c>
      <c r="I55" s="22" t="inlineStr">
        <is>
          <t>Within</t>
        </is>
      </c>
    </row>
    <row r="56">
      <c r="A56" s="22" t="inlineStr">
        <is>
          <t>PRJ-003</t>
        </is>
      </c>
      <c r="B56" s="22" t="inlineStr">
        <is>
          <t>TB DOTS Expansion - Karachi South</t>
        </is>
      </c>
      <c r="C56" s="22" t="inlineStr">
        <is>
          <t>FY2026-27</t>
        </is>
      </c>
      <c r="D56" s="22" t="inlineStr">
        <is>
          <t>Laboratory</t>
        </is>
      </c>
      <c r="E56" s="23" t="n">
        <v>700000</v>
      </c>
      <c r="F56" s="23" t="n">
        <v>947695.65</v>
      </c>
      <c r="G56" s="23" t="n">
        <v>-247695.65</v>
      </c>
      <c r="H56" s="31" t="n">
        <v>1.3539</v>
      </c>
      <c r="I56" s="22" t="inlineStr">
        <is>
          <t>Over budget</t>
        </is>
      </c>
    </row>
    <row r="57">
      <c r="A57" s="22" t="inlineStr">
        <is>
          <t>PRJ-003</t>
        </is>
      </c>
      <c r="B57" s="22" t="inlineStr">
        <is>
          <t>TB DOTS Expansion - Karachi South</t>
        </is>
      </c>
      <c r="C57" s="22" t="inlineStr">
        <is>
          <t>FY2026-27</t>
        </is>
      </c>
      <c r="D57" s="22" t="inlineStr">
        <is>
          <t>Medical Consumables</t>
        </is>
      </c>
      <c r="E57" s="23" t="n">
        <v>1922000</v>
      </c>
      <c r="F57" s="23" t="n">
        <v>1032472.56</v>
      </c>
      <c r="G57" s="23" t="n">
        <v>889527.4399999999</v>
      </c>
      <c r="H57" s="31" t="n">
        <v>0.5372</v>
      </c>
      <c r="I57" s="22" t="inlineStr">
        <is>
          <t>Within</t>
        </is>
      </c>
    </row>
    <row r="58">
      <c r="A58" s="22" t="inlineStr">
        <is>
          <t>PRJ-003</t>
        </is>
      </c>
      <c r="B58" s="22" t="inlineStr">
        <is>
          <t>TB DOTS Expansion - Karachi South</t>
        </is>
      </c>
      <c r="C58" s="22" t="inlineStr">
        <is>
          <t>FY2026-27</t>
        </is>
      </c>
      <c r="D58" s="22" t="inlineStr">
        <is>
          <t>Medicines</t>
        </is>
      </c>
      <c r="E58" s="23" t="n">
        <v>3797000</v>
      </c>
      <c r="F58" s="23" t="n">
        <v>2199220.82</v>
      </c>
      <c r="G58" s="23" t="n">
        <v>1597779.18</v>
      </c>
      <c r="H58" s="31" t="n">
        <v>0.5792</v>
      </c>
      <c r="I58" s="22" t="inlineStr">
        <is>
          <t>Within</t>
        </is>
      </c>
    </row>
    <row r="59">
      <c r="A59" s="22" t="inlineStr">
        <is>
          <t>PRJ-003</t>
        </is>
      </c>
      <c r="B59" s="22" t="inlineStr">
        <is>
          <t>TB DOTS Expansion - Karachi South</t>
        </is>
      </c>
      <c r="C59" s="22" t="inlineStr">
        <is>
          <t>FY2026-27</t>
        </is>
      </c>
      <c r="D59" s="22" t="inlineStr">
        <is>
          <t>Nutrition</t>
        </is>
      </c>
      <c r="E59" s="23" t="n">
        <v>2210000</v>
      </c>
      <c r="F59" s="23" t="n">
        <v>472291.62</v>
      </c>
      <c r="G59" s="23" t="n">
        <v>1737708.38</v>
      </c>
      <c r="H59" s="31" t="n">
        <v>0.2137</v>
      </c>
      <c r="I59" s="22" t="inlineStr">
        <is>
          <t>Within</t>
        </is>
      </c>
    </row>
    <row r="60">
      <c r="A60" s="22" t="inlineStr">
        <is>
          <t>PRJ-004</t>
        </is>
      </c>
      <c r="B60" s="22" t="inlineStr">
        <is>
          <t>Primary Healthcare Support - Tharparkar</t>
        </is>
      </c>
      <c r="C60" s="22" t="inlineStr">
        <is>
          <t>FY2024-25</t>
        </is>
      </c>
      <c r="D60" s="22" t="inlineStr">
        <is>
          <t>Equipment</t>
        </is>
      </c>
      <c r="E60" s="23" t="n">
        <v>1367000</v>
      </c>
      <c r="F60" s="23" t="n">
        <v>1446.24</v>
      </c>
      <c r="G60" s="23" t="n">
        <v>1365553.76</v>
      </c>
      <c r="H60" s="31" t="n">
        <v>0.0011</v>
      </c>
      <c r="I60" s="22" t="inlineStr">
        <is>
          <t>Within</t>
        </is>
      </c>
    </row>
    <row r="61">
      <c r="A61" s="22" t="inlineStr">
        <is>
          <t>PRJ-004</t>
        </is>
      </c>
      <c r="B61" s="22" t="inlineStr">
        <is>
          <t>Primary Healthcare Support - Tharparkar</t>
        </is>
      </c>
      <c r="C61" s="22" t="inlineStr">
        <is>
          <t>FY2024-25</t>
        </is>
      </c>
      <c r="D61" s="22" t="inlineStr">
        <is>
          <t>General Items</t>
        </is>
      </c>
      <c r="E61" s="23" t="n">
        <v>1168000</v>
      </c>
      <c r="F61" s="23" t="n">
        <v>373567.25</v>
      </c>
      <c r="G61" s="23" t="n">
        <v>794432.75</v>
      </c>
      <c r="H61" s="31" t="n">
        <v>0.3198</v>
      </c>
      <c r="I61" s="22" t="inlineStr">
        <is>
          <t>Within</t>
        </is>
      </c>
    </row>
    <row r="62">
      <c r="A62" s="22" t="inlineStr">
        <is>
          <t>PRJ-004</t>
        </is>
      </c>
      <c r="B62" s="22" t="inlineStr">
        <is>
          <t>Primary Healthcare Support - Tharparkar</t>
        </is>
      </c>
      <c r="C62" s="22" t="inlineStr">
        <is>
          <t>FY2024-25</t>
        </is>
      </c>
      <c r="D62" s="22" t="inlineStr">
        <is>
          <t>Laboratory</t>
        </is>
      </c>
      <c r="E62" s="23" t="n">
        <v>1164000</v>
      </c>
      <c r="F62" s="23" t="n">
        <v>336264.33</v>
      </c>
      <c r="G62" s="23" t="n">
        <v>827735.67</v>
      </c>
      <c r="H62" s="31" t="n">
        <v>0.2889</v>
      </c>
      <c r="I62" s="22" t="inlineStr">
        <is>
          <t>Within</t>
        </is>
      </c>
    </row>
    <row r="63">
      <c r="A63" s="22" t="inlineStr">
        <is>
          <t>PRJ-004</t>
        </is>
      </c>
      <c r="B63" s="22" t="inlineStr">
        <is>
          <t>Primary Healthcare Support - Tharparkar</t>
        </is>
      </c>
      <c r="C63" s="22" t="inlineStr">
        <is>
          <t>FY2024-25</t>
        </is>
      </c>
      <c r="D63" s="22" t="inlineStr">
        <is>
          <t>Medical Consumables</t>
        </is>
      </c>
      <c r="E63" s="23" t="n">
        <v>2990000</v>
      </c>
      <c r="F63" s="23" t="n">
        <v>2445682.96</v>
      </c>
      <c r="G63" s="23" t="n">
        <v>544317.04</v>
      </c>
      <c r="H63" s="31" t="n">
        <v>0.8179999999999999</v>
      </c>
      <c r="I63" s="22" t="inlineStr">
        <is>
          <t>Within</t>
        </is>
      </c>
    </row>
    <row r="64">
      <c r="A64" s="22" t="inlineStr">
        <is>
          <t>PRJ-004</t>
        </is>
      </c>
      <c r="B64" s="22" t="inlineStr">
        <is>
          <t>Primary Healthcare Support - Tharparkar</t>
        </is>
      </c>
      <c r="C64" s="22" t="inlineStr">
        <is>
          <t>FY2024-25</t>
        </is>
      </c>
      <c r="D64" s="22" t="inlineStr">
        <is>
          <t>Medicines</t>
        </is>
      </c>
      <c r="E64" s="23" t="n">
        <v>6658000</v>
      </c>
      <c r="F64" s="23" t="n">
        <v>3109055.08</v>
      </c>
      <c r="G64" s="23" t="n">
        <v>3548944.92</v>
      </c>
      <c r="H64" s="31" t="n">
        <v>0.467</v>
      </c>
      <c r="I64" s="22" t="inlineStr">
        <is>
          <t>Within</t>
        </is>
      </c>
    </row>
    <row r="65">
      <c r="A65" s="22" t="inlineStr">
        <is>
          <t>PRJ-004</t>
        </is>
      </c>
      <c r="B65" s="22" t="inlineStr">
        <is>
          <t>Primary Healthcare Support - Tharparkar</t>
        </is>
      </c>
      <c r="C65" s="22" t="inlineStr">
        <is>
          <t>FY2024-25</t>
        </is>
      </c>
      <c r="D65" s="22" t="inlineStr">
        <is>
          <t>Nutrition</t>
        </is>
      </c>
      <c r="E65" s="23" t="n">
        <v>3627000</v>
      </c>
      <c r="F65" s="23" t="n">
        <v>3108066.32</v>
      </c>
      <c r="G65" s="23" t="n">
        <v>518933.68</v>
      </c>
      <c r="H65" s="31" t="n">
        <v>0.8569</v>
      </c>
      <c r="I65" s="22" t="inlineStr">
        <is>
          <t>Watch</t>
        </is>
      </c>
    </row>
    <row r="66">
      <c r="A66" s="22" t="inlineStr">
        <is>
          <t>PRJ-004</t>
        </is>
      </c>
      <c r="B66" s="22" t="inlineStr">
        <is>
          <t>Primary Healthcare Support - Tharparkar</t>
        </is>
      </c>
      <c r="C66" s="22" t="inlineStr">
        <is>
          <t>FY2025-26</t>
        </is>
      </c>
      <c r="D66" s="22" t="inlineStr">
        <is>
          <t>Equipment</t>
        </is>
      </c>
      <c r="E66" s="23" t="n">
        <v>1374000</v>
      </c>
      <c r="F66" s="23" t="n">
        <v>0</v>
      </c>
      <c r="G66" s="23" t="n">
        <v>1374000</v>
      </c>
      <c r="H66" s="31" t="n">
        <v>0</v>
      </c>
      <c r="I66" s="22" t="inlineStr">
        <is>
          <t>Within</t>
        </is>
      </c>
    </row>
    <row r="67">
      <c r="A67" s="22" t="inlineStr">
        <is>
          <t>PRJ-004</t>
        </is>
      </c>
      <c r="B67" s="22" t="inlineStr">
        <is>
          <t>Primary Healthcare Support - Tharparkar</t>
        </is>
      </c>
      <c r="C67" s="22" t="inlineStr">
        <is>
          <t>FY2025-26</t>
        </is>
      </c>
      <c r="D67" s="22" t="inlineStr">
        <is>
          <t>General Items</t>
        </is>
      </c>
      <c r="E67" s="23" t="n">
        <v>1178000</v>
      </c>
      <c r="F67" s="23" t="n">
        <v>638028.55</v>
      </c>
      <c r="G67" s="23" t="n">
        <v>539971.45</v>
      </c>
      <c r="H67" s="31" t="n">
        <v>0.5416</v>
      </c>
      <c r="I67" s="22" t="inlineStr">
        <is>
          <t>Within</t>
        </is>
      </c>
    </row>
    <row r="68">
      <c r="A68" s="22" t="inlineStr">
        <is>
          <t>PRJ-004</t>
        </is>
      </c>
      <c r="B68" s="22" t="inlineStr">
        <is>
          <t>Primary Healthcare Support - Tharparkar</t>
        </is>
      </c>
      <c r="C68" s="22" t="inlineStr">
        <is>
          <t>FY2025-26</t>
        </is>
      </c>
      <c r="D68" s="22" t="inlineStr">
        <is>
          <t>Laboratory</t>
        </is>
      </c>
      <c r="E68" s="23" t="n">
        <v>1121000</v>
      </c>
      <c r="F68" s="23" t="n">
        <v>705243.46</v>
      </c>
      <c r="G68" s="23" t="n">
        <v>415756.54</v>
      </c>
      <c r="H68" s="31" t="n">
        <v>0.6291</v>
      </c>
      <c r="I68" s="22" t="inlineStr">
        <is>
          <t>Within</t>
        </is>
      </c>
    </row>
    <row r="69">
      <c r="A69" s="22" t="inlineStr">
        <is>
          <t>PRJ-004</t>
        </is>
      </c>
      <c r="B69" s="22" t="inlineStr">
        <is>
          <t>Primary Healthcare Support - Tharparkar</t>
        </is>
      </c>
      <c r="C69" s="22" t="inlineStr">
        <is>
          <t>FY2025-26</t>
        </is>
      </c>
      <c r="D69" s="22" t="inlineStr">
        <is>
          <t>Medical Consumables</t>
        </is>
      </c>
      <c r="E69" s="23" t="n">
        <v>3013000</v>
      </c>
      <c r="F69" s="23" t="n">
        <v>4551650.05</v>
      </c>
      <c r="G69" s="23" t="n">
        <v>-1538650.05</v>
      </c>
      <c r="H69" s="31" t="n">
        <v>1.5107</v>
      </c>
      <c r="I69" s="22" t="inlineStr">
        <is>
          <t>Over budget</t>
        </is>
      </c>
    </row>
    <row r="70">
      <c r="A70" s="22" t="inlineStr">
        <is>
          <t>PRJ-004</t>
        </is>
      </c>
      <c r="B70" s="22" t="inlineStr">
        <is>
          <t>Primary Healthcare Support - Tharparkar</t>
        </is>
      </c>
      <c r="C70" s="22" t="inlineStr">
        <is>
          <t>FY2025-26</t>
        </is>
      </c>
      <c r="D70" s="22" t="inlineStr">
        <is>
          <t>Medicines</t>
        </is>
      </c>
      <c r="E70" s="23" t="n">
        <v>6271000</v>
      </c>
      <c r="F70" s="23" t="n">
        <v>4949241.2</v>
      </c>
      <c r="G70" s="23" t="n">
        <v>1321758.8</v>
      </c>
      <c r="H70" s="31" t="n">
        <v>0.7892</v>
      </c>
      <c r="I70" s="22" t="inlineStr">
        <is>
          <t>Within</t>
        </is>
      </c>
    </row>
    <row r="71">
      <c r="A71" s="22" t="inlineStr">
        <is>
          <t>PRJ-004</t>
        </is>
      </c>
      <c r="B71" s="22" t="inlineStr">
        <is>
          <t>Primary Healthcare Support - Tharparkar</t>
        </is>
      </c>
      <c r="C71" s="22" t="inlineStr">
        <is>
          <t>FY2025-26</t>
        </is>
      </c>
      <c r="D71" s="22" t="inlineStr">
        <is>
          <t>Nutrition</t>
        </is>
      </c>
      <c r="E71" s="23" t="n">
        <v>2986000</v>
      </c>
      <c r="F71" s="23" t="n">
        <v>5202405.28</v>
      </c>
      <c r="G71" s="23" t="n">
        <v>-2216405.28</v>
      </c>
      <c r="H71" s="31" t="n">
        <v>1.7423</v>
      </c>
      <c r="I71" s="22" t="inlineStr">
        <is>
          <t>Over budget</t>
        </is>
      </c>
    </row>
    <row r="72">
      <c r="A72" s="22" t="inlineStr">
        <is>
          <t>PRJ-004</t>
        </is>
      </c>
      <c r="B72" s="22" t="inlineStr">
        <is>
          <t>Primary Healthcare Support - Tharparkar</t>
        </is>
      </c>
      <c r="C72" s="22" t="inlineStr">
        <is>
          <t>FY2026-27</t>
        </is>
      </c>
      <c r="D72" s="22" t="inlineStr">
        <is>
          <t>Equipment</t>
        </is>
      </c>
      <c r="E72" s="23" t="n">
        <v>650000</v>
      </c>
      <c r="F72" s="23" t="n">
        <v>0</v>
      </c>
      <c r="G72" s="23" t="n">
        <v>650000</v>
      </c>
      <c r="H72" s="31" t="n">
        <v>0</v>
      </c>
      <c r="I72" s="22" t="inlineStr">
        <is>
          <t>Within</t>
        </is>
      </c>
    </row>
    <row r="73">
      <c r="A73" s="22" t="inlineStr">
        <is>
          <t>PRJ-004</t>
        </is>
      </c>
      <c r="B73" s="22" t="inlineStr">
        <is>
          <t>Primary Healthcare Support - Tharparkar</t>
        </is>
      </c>
      <c r="C73" s="22" t="inlineStr">
        <is>
          <t>FY2026-27</t>
        </is>
      </c>
      <c r="D73" s="22" t="inlineStr">
        <is>
          <t>General Items</t>
        </is>
      </c>
      <c r="E73" s="23" t="n">
        <v>558000</v>
      </c>
      <c r="F73" s="23" t="n">
        <v>214389.66</v>
      </c>
      <c r="G73" s="23" t="n">
        <v>343610.34</v>
      </c>
      <c r="H73" s="31" t="n">
        <v>0.3842</v>
      </c>
      <c r="I73" s="22" t="inlineStr">
        <is>
          <t>Within</t>
        </is>
      </c>
    </row>
    <row r="74">
      <c r="A74" s="22" t="inlineStr">
        <is>
          <t>PRJ-004</t>
        </is>
      </c>
      <c r="B74" s="22" t="inlineStr">
        <is>
          <t>Primary Healthcare Support - Tharparkar</t>
        </is>
      </c>
      <c r="C74" s="22" t="inlineStr">
        <is>
          <t>FY2026-27</t>
        </is>
      </c>
      <c r="D74" s="22" t="inlineStr">
        <is>
          <t>Laboratory</t>
        </is>
      </c>
      <c r="E74" s="23" t="n">
        <v>597000</v>
      </c>
      <c r="F74" s="23" t="n">
        <v>118503.96</v>
      </c>
      <c r="G74" s="23" t="n">
        <v>478496.04</v>
      </c>
      <c r="H74" s="31" t="n">
        <v>0.1985</v>
      </c>
      <c r="I74" s="22" t="inlineStr">
        <is>
          <t>Within</t>
        </is>
      </c>
    </row>
    <row r="75">
      <c r="A75" s="22" t="inlineStr">
        <is>
          <t>PRJ-004</t>
        </is>
      </c>
      <c r="B75" s="22" t="inlineStr">
        <is>
          <t>Primary Healthcare Support - Tharparkar</t>
        </is>
      </c>
      <c r="C75" s="22" t="inlineStr">
        <is>
          <t>FY2026-27</t>
        </is>
      </c>
      <c r="D75" s="22" t="inlineStr">
        <is>
          <t>Medical Consumables</t>
        </is>
      </c>
      <c r="E75" s="23" t="n">
        <v>1459000</v>
      </c>
      <c r="F75" s="23" t="n">
        <v>1482529.06</v>
      </c>
      <c r="G75" s="23" t="n">
        <v>-23529.06</v>
      </c>
      <c r="H75" s="31" t="n">
        <v>1.0161</v>
      </c>
      <c r="I75" s="22" t="inlineStr">
        <is>
          <t>Over budget</t>
        </is>
      </c>
    </row>
    <row r="76">
      <c r="A76" s="22" t="inlineStr">
        <is>
          <t>PRJ-004</t>
        </is>
      </c>
      <c r="B76" s="22" t="inlineStr">
        <is>
          <t>Primary Healthcare Support - Tharparkar</t>
        </is>
      </c>
      <c r="C76" s="22" t="inlineStr">
        <is>
          <t>FY2026-27</t>
        </is>
      </c>
      <c r="D76" s="22" t="inlineStr">
        <is>
          <t>Medicines</t>
        </is>
      </c>
      <c r="E76" s="23" t="n">
        <v>3063000</v>
      </c>
      <c r="F76" s="23" t="n">
        <v>1579158.88</v>
      </c>
      <c r="G76" s="23" t="n">
        <v>1483841.12</v>
      </c>
      <c r="H76" s="31" t="n">
        <v>0.5155999999999999</v>
      </c>
      <c r="I76" s="22" t="inlineStr">
        <is>
          <t>Within</t>
        </is>
      </c>
    </row>
    <row r="77">
      <c r="A77" s="22" t="inlineStr">
        <is>
          <t>PRJ-004</t>
        </is>
      </c>
      <c r="B77" s="22" t="inlineStr">
        <is>
          <t>Primary Healthcare Support - Tharparkar</t>
        </is>
      </c>
      <c r="C77" s="22" t="inlineStr">
        <is>
          <t>FY2026-27</t>
        </is>
      </c>
      <c r="D77" s="22" t="inlineStr">
        <is>
          <t>Nutrition</t>
        </is>
      </c>
      <c r="E77" s="23" t="n">
        <v>1551000</v>
      </c>
      <c r="F77" s="23" t="n">
        <v>1969383.96</v>
      </c>
      <c r="G77" s="23" t="n">
        <v>-418383.96</v>
      </c>
      <c r="H77" s="31" t="n">
        <v>1.2698</v>
      </c>
      <c r="I77" s="22" t="inlineStr">
        <is>
          <t>Over budget</t>
        </is>
      </c>
    </row>
    <row r="78">
      <c r="A78" s="22" t="inlineStr">
        <is>
          <t>PRJ-005</t>
        </is>
      </c>
      <c r="B78" s="22" t="inlineStr">
        <is>
          <t>Flood Response &amp; Health Recovery - Dadu</t>
        </is>
      </c>
      <c r="C78" s="22" t="inlineStr">
        <is>
          <t>FY2024-25</t>
        </is>
      </c>
      <c r="D78" s="22" t="inlineStr">
        <is>
          <t>Equipment</t>
        </is>
      </c>
      <c r="E78" s="23" t="n">
        <v>1127000</v>
      </c>
      <c r="F78" s="23" t="n">
        <v>0</v>
      </c>
      <c r="G78" s="23" t="n">
        <v>1127000</v>
      </c>
      <c r="H78" s="31" t="n">
        <v>0</v>
      </c>
      <c r="I78" s="22" t="inlineStr">
        <is>
          <t>Within</t>
        </is>
      </c>
    </row>
    <row r="79">
      <c r="A79" s="22" t="inlineStr">
        <is>
          <t>PRJ-005</t>
        </is>
      </c>
      <c r="B79" s="22" t="inlineStr">
        <is>
          <t>Flood Response &amp; Health Recovery - Dadu</t>
        </is>
      </c>
      <c r="C79" s="22" t="inlineStr">
        <is>
          <t>FY2024-25</t>
        </is>
      </c>
      <c r="D79" s="22" t="inlineStr">
        <is>
          <t>General Items</t>
        </is>
      </c>
      <c r="E79" s="23" t="n">
        <v>930000</v>
      </c>
      <c r="F79" s="23" t="n">
        <v>648778.96</v>
      </c>
      <c r="G79" s="23" t="n">
        <v>281221.04</v>
      </c>
      <c r="H79" s="31" t="n">
        <v>0.6976</v>
      </c>
      <c r="I79" s="22" t="inlineStr">
        <is>
          <t>Within</t>
        </is>
      </c>
    </row>
    <row r="80">
      <c r="A80" s="22" t="inlineStr">
        <is>
          <t>PRJ-005</t>
        </is>
      </c>
      <c r="B80" s="22" t="inlineStr">
        <is>
          <t>Flood Response &amp; Health Recovery - Dadu</t>
        </is>
      </c>
      <c r="C80" s="22" t="inlineStr">
        <is>
          <t>FY2024-25</t>
        </is>
      </c>
      <c r="D80" s="22" t="inlineStr">
        <is>
          <t>Laboratory</t>
        </is>
      </c>
      <c r="E80" s="23" t="n">
        <v>1045000</v>
      </c>
      <c r="F80" s="23" t="n">
        <v>191706.44</v>
      </c>
      <c r="G80" s="23" t="n">
        <v>853293.5600000001</v>
      </c>
      <c r="H80" s="31" t="n">
        <v>0.1835</v>
      </c>
      <c r="I80" s="22" t="inlineStr">
        <is>
          <t>Within</t>
        </is>
      </c>
    </row>
    <row r="81">
      <c r="A81" s="22" t="inlineStr">
        <is>
          <t>PRJ-005</t>
        </is>
      </c>
      <c r="B81" s="22" t="inlineStr">
        <is>
          <t>Flood Response &amp; Health Recovery - Dadu</t>
        </is>
      </c>
      <c r="C81" s="22" t="inlineStr">
        <is>
          <t>FY2024-25</t>
        </is>
      </c>
      <c r="D81" s="22" t="inlineStr">
        <is>
          <t>Medical Consumables</t>
        </is>
      </c>
      <c r="E81" s="23" t="n">
        <v>2717000</v>
      </c>
      <c r="F81" s="23" t="n">
        <v>1858338.93</v>
      </c>
      <c r="G81" s="23" t="n">
        <v>858661.0699999999</v>
      </c>
      <c r="H81" s="31" t="n">
        <v>0.6840000000000001</v>
      </c>
      <c r="I81" s="22" t="inlineStr">
        <is>
          <t>Within</t>
        </is>
      </c>
    </row>
    <row r="82">
      <c r="A82" s="22" t="inlineStr">
        <is>
          <t>PRJ-005</t>
        </is>
      </c>
      <c r="B82" s="22" t="inlineStr">
        <is>
          <t>Flood Response &amp; Health Recovery - Dadu</t>
        </is>
      </c>
      <c r="C82" s="22" t="inlineStr">
        <is>
          <t>FY2024-25</t>
        </is>
      </c>
      <c r="D82" s="22" t="inlineStr">
        <is>
          <t>Medicines</t>
        </is>
      </c>
      <c r="E82" s="23" t="n">
        <v>5663000</v>
      </c>
      <c r="F82" s="23" t="n">
        <v>3346737.2</v>
      </c>
      <c r="G82" s="23" t="n">
        <v>2316262.8</v>
      </c>
      <c r="H82" s="31" t="n">
        <v>0.591</v>
      </c>
      <c r="I82" s="22" t="inlineStr">
        <is>
          <t>Within</t>
        </is>
      </c>
    </row>
    <row r="83">
      <c r="A83" s="22" t="inlineStr">
        <is>
          <t>PRJ-005</t>
        </is>
      </c>
      <c r="B83" s="22" t="inlineStr">
        <is>
          <t>Flood Response &amp; Health Recovery - Dadu</t>
        </is>
      </c>
      <c r="C83" s="22" t="inlineStr">
        <is>
          <t>FY2024-25</t>
        </is>
      </c>
      <c r="D83" s="22" t="inlineStr">
        <is>
          <t>Nutrition</t>
        </is>
      </c>
      <c r="E83" s="23" t="n">
        <v>2667000</v>
      </c>
      <c r="F83" s="23" t="n">
        <v>1907739.4</v>
      </c>
      <c r="G83" s="23" t="n">
        <v>759260.6</v>
      </c>
      <c r="H83" s="31" t="n">
        <v>0.7153</v>
      </c>
      <c r="I83" s="22" t="inlineStr">
        <is>
          <t>Within</t>
        </is>
      </c>
    </row>
    <row r="84">
      <c r="A84" s="22" t="inlineStr">
        <is>
          <t>PRJ-005</t>
        </is>
      </c>
      <c r="B84" s="22" t="inlineStr">
        <is>
          <t>Flood Response &amp; Health Recovery - Dadu</t>
        </is>
      </c>
      <c r="C84" s="22" t="inlineStr">
        <is>
          <t>FY2025-26</t>
        </is>
      </c>
      <c r="D84" s="22" t="inlineStr">
        <is>
          <t>Equipment</t>
        </is>
      </c>
      <c r="E84" s="23" t="n">
        <v>1019000</v>
      </c>
      <c r="F84" s="23" t="n">
        <v>0</v>
      </c>
      <c r="G84" s="23" t="n">
        <v>1019000</v>
      </c>
      <c r="H84" s="31" t="n">
        <v>0</v>
      </c>
      <c r="I84" s="22" t="inlineStr">
        <is>
          <t>Within</t>
        </is>
      </c>
    </row>
    <row r="85">
      <c r="A85" s="22" t="inlineStr">
        <is>
          <t>PRJ-005</t>
        </is>
      </c>
      <c r="B85" s="22" t="inlineStr">
        <is>
          <t>Flood Response &amp; Health Recovery - Dadu</t>
        </is>
      </c>
      <c r="C85" s="22" t="inlineStr">
        <is>
          <t>FY2025-26</t>
        </is>
      </c>
      <c r="D85" s="22" t="inlineStr">
        <is>
          <t>General Items</t>
        </is>
      </c>
      <c r="E85" s="23" t="n">
        <v>852000</v>
      </c>
      <c r="F85" s="23" t="n">
        <v>294834.33</v>
      </c>
      <c r="G85" s="23" t="n">
        <v>557165.67</v>
      </c>
      <c r="H85" s="31" t="n">
        <v>0.346</v>
      </c>
      <c r="I85" s="22" t="inlineStr">
        <is>
          <t>Within</t>
        </is>
      </c>
    </row>
    <row r="86">
      <c r="A86" s="22" t="inlineStr">
        <is>
          <t>PRJ-005</t>
        </is>
      </c>
      <c r="B86" s="22" t="inlineStr">
        <is>
          <t>Flood Response &amp; Health Recovery - Dadu</t>
        </is>
      </c>
      <c r="C86" s="22" t="inlineStr">
        <is>
          <t>FY2025-26</t>
        </is>
      </c>
      <c r="D86" s="22" t="inlineStr">
        <is>
          <t>Laboratory</t>
        </is>
      </c>
      <c r="E86" s="23" t="n">
        <v>894000</v>
      </c>
      <c r="F86" s="23" t="n">
        <v>158537.8</v>
      </c>
      <c r="G86" s="23" t="n">
        <v>735462.2</v>
      </c>
      <c r="H86" s="31" t="n">
        <v>0.1773</v>
      </c>
      <c r="I86" s="22" t="inlineStr">
        <is>
          <t>Within</t>
        </is>
      </c>
    </row>
    <row r="87">
      <c r="A87" s="22" t="inlineStr">
        <is>
          <t>PRJ-005</t>
        </is>
      </c>
      <c r="B87" s="22" t="inlineStr">
        <is>
          <t>Flood Response &amp; Health Recovery - Dadu</t>
        </is>
      </c>
      <c r="C87" s="22" t="inlineStr">
        <is>
          <t>FY2025-26</t>
        </is>
      </c>
      <c r="D87" s="22" t="inlineStr">
        <is>
          <t>Medical Consumables</t>
        </is>
      </c>
      <c r="E87" s="23" t="n">
        <v>2156000</v>
      </c>
      <c r="F87" s="23" t="n">
        <v>1086656.26</v>
      </c>
      <c r="G87" s="23" t="n">
        <v>1069343.74</v>
      </c>
      <c r="H87" s="31" t="n">
        <v>0.504</v>
      </c>
      <c r="I87" s="22" t="inlineStr">
        <is>
          <t>Within</t>
        </is>
      </c>
    </row>
    <row r="88">
      <c r="A88" s="22" t="inlineStr">
        <is>
          <t>PRJ-005</t>
        </is>
      </c>
      <c r="B88" s="22" t="inlineStr">
        <is>
          <t>Flood Response &amp; Health Recovery - Dadu</t>
        </is>
      </c>
      <c r="C88" s="22" t="inlineStr">
        <is>
          <t>FY2025-26</t>
        </is>
      </c>
      <c r="D88" s="22" t="inlineStr">
        <is>
          <t>Medicines</t>
        </is>
      </c>
      <c r="E88" s="23" t="n">
        <v>4418000</v>
      </c>
      <c r="F88" s="23" t="n">
        <v>1907234.37</v>
      </c>
      <c r="G88" s="23" t="n">
        <v>2510765.63</v>
      </c>
      <c r="H88" s="31" t="n">
        <v>0.4317</v>
      </c>
      <c r="I88" s="22" t="inlineStr">
        <is>
          <t>Within</t>
        </is>
      </c>
    </row>
    <row r="89">
      <c r="A89" s="22" t="inlineStr">
        <is>
          <t>PRJ-005</t>
        </is>
      </c>
      <c r="B89" s="22" t="inlineStr">
        <is>
          <t>Flood Response &amp; Health Recovery - Dadu</t>
        </is>
      </c>
      <c r="C89" s="22" t="inlineStr">
        <is>
          <t>FY2025-26</t>
        </is>
      </c>
      <c r="D89" s="22" t="inlineStr">
        <is>
          <t>Nutrition</t>
        </is>
      </c>
      <c r="E89" s="23" t="n">
        <v>2578000</v>
      </c>
      <c r="F89" s="23" t="n">
        <v>1252856.44</v>
      </c>
      <c r="G89" s="23" t="n">
        <v>1325143.56</v>
      </c>
      <c r="H89" s="31" t="n">
        <v>0.486</v>
      </c>
      <c r="I89" s="22" t="inlineStr">
        <is>
          <t>Within</t>
        </is>
      </c>
    </row>
    <row r="90">
      <c r="A90" s="22" t="inlineStr">
        <is>
          <t>PRJ-005</t>
        </is>
      </c>
      <c r="B90" s="22" t="inlineStr">
        <is>
          <t>Flood Response &amp; Health Recovery - Dadu</t>
        </is>
      </c>
      <c r="C90" s="22" t="inlineStr">
        <is>
          <t>FY2026-27</t>
        </is>
      </c>
      <c r="D90" s="22" t="inlineStr">
        <is>
          <t>Equipment</t>
        </is>
      </c>
      <c r="E90" s="23" t="n">
        <v>563000</v>
      </c>
      <c r="F90" s="23" t="n">
        <v>0</v>
      </c>
      <c r="G90" s="23" t="n">
        <v>563000</v>
      </c>
      <c r="H90" s="31" t="n">
        <v>0</v>
      </c>
      <c r="I90" s="22" t="inlineStr">
        <is>
          <t>Within</t>
        </is>
      </c>
    </row>
    <row r="91">
      <c r="A91" s="22" t="inlineStr">
        <is>
          <t>PRJ-005</t>
        </is>
      </c>
      <c r="B91" s="22" t="inlineStr">
        <is>
          <t>Flood Response &amp; Health Recovery - Dadu</t>
        </is>
      </c>
      <c r="C91" s="22" t="inlineStr">
        <is>
          <t>FY2026-27</t>
        </is>
      </c>
      <c r="D91" s="22" t="inlineStr">
        <is>
          <t>General Items</t>
        </is>
      </c>
      <c r="E91" s="23" t="n">
        <v>496000</v>
      </c>
      <c r="F91" s="23" t="n">
        <v>0</v>
      </c>
      <c r="G91" s="23" t="n">
        <v>496000</v>
      </c>
      <c r="H91" s="31" t="n">
        <v>0</v>
      </c>
      <c r="I91" s="22" t="inlineStr">
        <is>
          <t>Within</t>
        </is>
      </c>
    </row>
    <row r="92">
      <c r="A92" s="22" t="inlineStr">
        <is>
          <t>PRJ-005</t>
        </is>
      </c>
      <c r="B92" s="22" t="inlineStr">
        <is>
          <t>Flood Response &amp; Health Recovery - Dadu</t>
        </is>
      </c>
      <c r="C92" s="22" t="inlineStr">
        <is>
          <t>FY2026-27</t>
        </is>
      </c>
      <c r="D92" s="22" t="inlineStr">
        <is>
          <t>Laboratory</t>
        </is>
      </c>
      <c r="E92" s="23" t="n">
        <v>474000</v>
      </c>
      <c r="F92" s="23" t="n">
        <v>0</v>
      </c>
      <c r="G92" s="23" t="n">
        <v>474000</v>
      </c>
      <c r="H92" s="31" t="n">
        <v>0</v>
      </c>
      <c r="I92" s="22" t="inlineStr">
        <is>
          <t>Within</t>
        </is>
      </c>
    </row>
    <row r="93">
      <c r="A93" s="22" t="inlineStr">
        <is>
          <t>PRJ-005</t>
        </is>
      </c>
      <c r="B93" s="22" t="inlineStr">
        <is>
          <t>Flood Response &amp; Health Recovery - Dadu</t>
        </is>
      </c>
      <c r="C93" s="22" t="inlineStr">
        <is>
          <t>FY2026-27</t>
        </is>
      </c>
      <c r="D93" s="22" t="inlineStr">
        <is>
          <t>Medical Consumables</t>
        </is>
      </c>
      <c r="E93" s="23" t="n">
        <v>1287000</v>
      </c>
      <c r="F93" s="23" t="n">
        <v>0</v>
      </c>
      <c r="G93" s="23" t="n">
        <v>1287000</v>
      </c>
      <c r="H93" s="31" t="n">
        <v>0</v>
      </c>
      <c r="I93" s="22" t="inlineStr">
        <is>
          <t>Within</t>
        </is>
      </c>
    </row>
    <row r="94">
      <c r="A94" s="22" t="inlineStr">
        <is>
          <t>PRJ-005</t>
        </is>
      </c>
      <c r="B94" s="22" t="inlineStr">
        <is>
          <t>Flood Response &amp; Health Recovery - Dadu</t>
        </is>
      </c>
      <c r="C94" s="22" t="inlineStr">
        <is>
          <t>FY2026-27</t>
        </is>
      </c>
      <c r="D94" s="22" t="inlineStr">
        <is>
          <t>Medicines</t>
        </is>
      </c>
      <c r="E94" s="23" t="n">
        <v>2687000</v>
      </c>
      <c r="F94" s="23" t="n">
        <v>0</v>
      </c>
      <c r="G94" s="23" t="n">
        <v>2687000</v>
      </c>
      <c r="H94" s="31" t="n">
        <v>0</v>
      </c>
      <c r="I94" s="22" t="inlineStr">
        <is>
          <t>Within</t>
        </is>
      </c>
    </row>
    <row r="95">
      <c r="A95" s="22" t="inlineStr">
        <is>
          <t>PRJ-005</t>
        </is>
      </c>
      <c r="B95" s="22" t="inlineStr">
        <is>
          <t>Flood Response &amp; Health Recovery - Dadu</t>
        </is>
      </c>
      <c r="C95" s="22" t="inlineStr">
        <is>
          <t>FY2026-27</t>
        </is>
      </c>
      <c r="D95" s="22" t="inlineStr">
        <is>
          <t>Nutrition</t>
        </is>
      </c>
      <c r="E95" s="23" t="n">
        <v>1211000</v>
      </c>
      <c r="F95" s="23" t="n">
        <v>0</v>
      </c>
      <c r="G95" s="23" t="n">
        <v>1211000</v>
      </c>
      <c r="H95" s="31" t="n">
        <v>0</v>
      </c>
      <c r="I95" s="22" t="inlineStr">
        <is>
          <t>Within</t>
        </is>
      </c>
    </row>
    <row r="96">
      <c r="A96" s="22" t="inlineStr">
        <is>
          <t>PRJ-006</t>
        </is>
      </c>
      <c r="B96" s="22" t="inlineStr">
        <is>
          <t>Rural Health Centre Strengthening - Jamshoro</t>
        </is>
      </c>
      <c r="C96" s="22" t="inlineStr">
        <is>
          <t>FY2024-25</t>
        </is>
      </c>
      <c r="D96" s="22" t="inlineStr">
        <is>
          <t>Equipment</t>
        </is>
      </c>
      <c r="E96" s="23" t="n">
        <v>955000</v>
      </c>
      <c r="F96" s="23" t="n">
        <v>14462.42</v>
      </c>
      <c r="G96" s="23" t="n">
        <v>940537.58</v>
      </c>
      <c r="H96" s="31" t="n">
        <v>0.0151</v>
      </c>
      <c r="I96" s="22" t="inlineStr">
        <is>
          <t>Within</t>
        </is>
      </c>
    </row>
    <row r="97">
      <c r="A97" s="22" t="inlineStr">
        <is>
          <t>PRJ-006</t>
        </is>
      </c>
      <c r="B97" s="22" t="inlineStr">
        <is>
          <t>Rural Health Centre Strengthening - Jamshoro</t>
        </is>
      </c>
      <c r="C97" s="22" t="inlineStr">
        <is>
          <t>FY2024-25</t>
        </is>
      </c>
      <c r="D97" s="22" t="inlineStr">
        <is>
          <t>General Items</t>
        </is>
      </c>
      <c r="E97" s="23" t="n">
        <v>824000</v>
      </c>
      <c r="F97" s="23" t="n">
        <v>227074.26</v>
      </c>
      <c r="G97" s="23" t="n">
        <v>596925.74</v>
      </c>
      <c r="H97" s="31" t="n">
        <v>0.2756</v>
      </c>
      <c r="I97" s="22" t="inlineStr">
        <is>
          <t>Within</t>
        </is>
      </c>
    </row>
    <row r="98">
      <c r="A98" s="22" t="inlineStr">
        <is>
          <t>PRJ-006</t>
        </is>
      </c>
      <c r="B98" s="22" t="inlineStr">
        <is>
          <t>Rural Health Centre Strengthening - Jamshoro</t>
        </is>
      </c>
      <c r="C98" s="22" t="inlineStr">
        <is>
          <t>FY2024-25</t>
        </is>
      </c>
      <c r="D98" s="22" t="inlineStr">
        <is>
          <t>Laboratory</t>
        </is>
      </c>
      <c r="E98" s="23" t="n">
        <v>790000</v>
      </c>
      <c r="F98" s="23" t="n">
        <v>183694</v>
      </c>
      <c r="G98" s="23" t="n">
        <v>606306</v>
      </c>
      <c r="H98" s="31" t="n">
        <v>0.2325</v>
      </c>
      <c r="I98" s="22" t="inlineStr">
        <is>
          <t>Within</t>
        </is>
      </c>
    </row>
    <row r="99">
      <c r="A99" s="22" t="inlineStr">
        <is>
          <t>PRJ-006</t>
        </is>
      </c>
      <c r="B99" s="22" t="inlineStr">
        <is>
          <t>Rural Health Centre Strengthening - Jamshoro</t>
        </is>
      </c>
      <c r="C99" s="22" t="inlineStr">
        <is>
          <t>FY2024-25</t>
        </is>
      </c>
      <c r="D99" s="22" t="inlineStr">
        <is>
          <t>Medical Consumables</t>
        </is>
      </c>
      <c r="E99" s="23" t="n">
        <v>2245000</v>
      </c>
      <c r="F99" s="23" t="n">
        <v>1084749.61</v>
      </c>
      <c r="G99" s="23" t="n">
        <v>1160250.39</v>
      </c>
      <c r="H99" s="31" t="n">
        <v>0.4832</v>
      </c>
      <c r="I99" s="22" t="inlineStr">
        <is>
          <t>Within</t>
        </is>
      </c>
    </row>
    <row r="100">
      <c r="A100" s="22" t="inlineStr">
        <is>
          <t>PRJ-006</t>
        </is>
      </c>
      <c r="B100" s="22" t="inlineStr">
        <is>
          <t>Rural Health Centre Strengthening - Jamshoro</t>
        </is>
      </c>
      <c r="C100" s="22" t="inlineStr">
        <is>
          <t>FY2024-25</t>
        </is>
      </c>
      <c r="D100" s="22" t="inlineStr">
        <is>
          <t>Medicines</t>
        </is>
      </c>
      <c r="E100" s="23" t="n">
        <v>4314000</v>
      </c>
      <c r="F100" s="23" t="n">
        <v>1315532.12</v>
      </c>
      <c r="G100" s="23" t="n">
        <v>2998467.88</v>
      </c>
      <c r="H100" s="31" t="n">
        <v>0.3049</v>
      </c>
      <c r="I100" s="22" t="inlineStr">
        <is>
          <t>Within</t>
        </is>
      </c>
    </row>
    <row r="101">
      <c r="A101" s="22" t="inlineStr">
        <is>
          <t>PRJ-006</t>
        </is>
      </c>
      <c r="B101" s="22" t="inlineStr">
        <is>
          <t>Rural Health Centre Strengthening - Jamshoro</t>
        </is>
      </c>
      <c r="C101" s="22" t="inlineStr">
        <is>
          <t>FY2024-25</t>
        </is>
      </c>
      <c r="D101" s="22" t="inlineStr">
        <is>
          <t>Nutrition</t>
        </is>
      </c>
      <c r="E101" s="23" t="n">
        <v>2389000</v>
      </c>
      <c r="F101" s="23" t="n">
        <v>752854.86</v>
      </c>
      <c r="G101" s="23" t="n">
        <v>1636145.14</v>
      </c>
      <c r="H101" s="31" t="n">
        <v>0.3151</v>
      </c>
      <c r="I101" s="22" t="inlineStr">
        <is>
          <t>Within</t>
        </is>
      </c>
    </row>
    <row r="102">
      <c r="A102" s="22" t="inlineStr">
        <is>
          <t>PRJ-006</t>
        </is>
      </c>
      <c r="B102" s="22" t="inlineStr">
        <is>
          <t>Rural Health Centre Strengthening - Jamshoro</t>
        </is>
      </c>
      <c r="C102" s="22" t="inlineStr">
        <is>
          <t>FY2025-26</t>
        </is>
      </c>
      <c r="D102" s="22" t="inlineStr">
        <is>
          <t>Equipment</t>
        </is>
      </c>
      <c r="E102" s="23" t="n">
        <v>856000</v>
      </c>
      <c r="F102" s="23" t="n">
        <v>0</v>
      </c>
      <c r="G102" s="23" t="n">
        <v>856000</v>
      </c>
      <c r="H102" s="31" t="n">
        <v>0</v>
      </c>
      <c r="I102" s="22" t="inlineStr">
        <is>
          <t>Within</t>
        </is>
      </c>
    </row>
    <row r="103">
      <c r="A103" s="22" t="inlineStr">
        <is>
          <t>PRJ-006</t>
        </is>
      </c>
      <c r="B103" s="22" t="inlineStr">
        <is>
          <t>Rural Health Centre Strengthening - Jamshoro</t>
        </is>
      </c>
      <c r="C103" s="22" t="inlineStr">
        <is>
          <t>FY2025-26</t>
        </is>
      </c>
      <c r="D103" s="22" t="inlineStr">
        <is>
          <t>General Items</t>
        </is>
      </c>
      <c r="E103" s="23" t="n">
        <v>701000</v>
      </c>
      <c r="F103" s="23" t="n">
        <v>521673.14</v>
      </c>
      <c r="G103" s="23" t="n">
        <v>179326.86</v>
      </c>
      <c r="H103" s="31" t="n">
        <v>0.7442</v>
      </c>
      <c r="I103" s="22" t="inlineStr">
        <is>
          <t>Within</t>
        </is>
      </c>
    </row>
    <row r="104">
      <c r="A104" s="22" t="inlineStr">
        <is>
          <t>PRJ-006</t>
        </is>
      </c>
      <c r="B104" s="22" t="inlineStr">
        <is>
          <t>Rural Health Centre Strengthening - Jamshoro</t>
        </is>
      </c>
      <c r="C104" s="22" t="inlineStr">
        <is>
          <t>FY2025-26</t>
        </is>
      </c>
      <c r="D104" s="22" t="inlineStr">
        <is>
          <t>Laboratory</t>
        </is>
      </c>
      <c r="E104" s="23" t="n">
        <v>760000</v>
      </c>
      <c r="F104" s="23" t="n">
        <v>364880.99</v>
      </c>
      <c r="G104" s="23" t="n">
        <v>395119.01</v>
      </c>
      <c r="H104" s="31" t="n">
        <v>0.4801</v>
      </c>
      <c r="I104" s="22" t="inlineStr">
        <is>
          <t>Within</t>
        </is>
      </c>
    </row>
    <row r="105">
      <c r="A105" s="22" t="inlineStr">
        <is>
          <t>PRJ-006</t>
        </is>
      </c>
      <c r="B105" s="22" t="inlineStr">
        <is>
          <t>Rural Health Centre Strengthening - Jamshoro</t>
        </is>
      </c>
      <c r="C105" s="22" t="inlineStr">
        <is>
          <t>FY2025-26</t>
        </is>
      </c>
      <c r="D105" s="22" t="inlineStr">
        <is>
          <t>Medical Consumables</t>
        </is>
      </c>
      <c r="E105" s="23" t="n">
        <v>2034000</v>
      </c>
      <c r="F105" s="23" t="n">
        <v>3059901.65</v>
      </c>
      <c r="G105" s="23" t="n">
        <v>-1025901.65</v>
      </c>
      <c r="H105" s="31" t="n">
        <v>1.5044</v>
      </c>
      <c r="I105" s="22" t="inlineStr">
        <is>
          <t>Over budget</t>
        </is>
      </c>
    </row>
    <row r="106">
      <c r="A106" s="22" t="inlineStr">
        <is>
          <t>PRJ-006</t>
        </is>
      </c>
      <c r="B106" s="22" t="inlineStr">
        <is>
          <t>Rural Health Centre Strengthening - Jamshoro</t>
        </is>
      </c>
      <c r="C106" s="22" t="inlineStr">
        <is>
          <t>FY2025-26</t>
        </is>
      </c>
      <c r="D106" s="22" t="inlineStr">
        <is>
          <t>Medicines</t>
        </is>
      </c>
      <c r="E106" s="23" t="n">
        <v>3890000</v>
      </c>
      <c r="F106" s="23" t="n">
        <v>3250907.32</v>
      </c>
      <c r="G106" s="23" t="n">
        <v>639092.6800000001</v>
      </c>
      <c r="H106" s="31" t="n">
        <v>0.8357</v>
      </c>
      <c r="I106" s="22" t="inlineStr">
        <is>
          <t>Within</t>
        </is>
      </c>
    </row>
    <row r="107">
      <c r="A107" s="22" t="inlineStr">
        <is>
          <t>PRJ-006</t>
        </is>
      </c>
      <c r="B107" s="22" t="inlineStr">
        <is>
          <t>Rural Health Centre Strengthening - Jamshoro</t>
        </is>
      </c>
      <c r="C107" s="22" t="inlineStr">
        <is>
          <t>FY2025-26</t>
        </is>
      </c>
      <c r="D107" s="22" t="inlineStr">
        <is>
          <t>Nutrition</t>
        </is>
      </c>
      <c r="E107" s="23" t="n">
        <v>1956000</v>
      </c>
      <c r="F107" s="23" t="n">
        <v>1734035.12</v>
      </c>
      <c r="G107" s="23" t="n">
        <v>221964.88</v>
      </c>
      <c r="H107" s="31" t="n">
        <v>0.8865</v>
      </c>
      <c r="I107" s="22" t="inlineStr">
        <is>
          <t>Watch</t>
        </is>
      </c>
    </row>
    <row r="108">
      <c r="A108" s="22" t="inlineStr">
        <is>
          <t>PRJ-006</t>
        </is>
      </c>
      <c r="B108" s="22" t="inlineStr">
        <is>
          <t>Rural Health Centre Strengthening - Jamshoro</t>
        </is>
      </c>
      <c r="C108" s="22" t="inlineStr">
        <is>
          <t>FY2026-27</t>
        </is>
      </c>
      <c r="D108" s="22" t="inlineStr">
        <is>
          <t>Equipment</t>
        </is>
      </c>
      <c r="E108" s="23" t="n">
        <v>470000</v>
      </c>
      <c r="F108" s="23" t="n">
        <v>0</v>
      </c>
      <c r="G108" s="23" t="n">
        <v>470000</v>
      </c>
      <c r="H108" s="31" t="n">
        <v>0</v>
      </c>
      <c r="I108" s="22" t="inlineStr">
        <is>
          <t>Within</t>
        </is>
      </c>
    </row>
    <row r="109">
      <c r="A109" s="22" t="inlineStr">
        <is>
          <t>PRJ-006</t>
        </is>
      </c>
      <c r="B109" s="22" t="inlineStr">
        <is>
          <t>Rural Health Centre Strengthening - Jamshoro</t>
        </is>
      </c>
      <c r="C109" s="22" t="inlineStr">
        <is>
          <t>FY2026-27</t>
        </is>
      </c>
      <c r="D109" s="22" t="inlineStr">
        <is>
          <t>General Items</t>
        </is>
      </c>
      <c r="E109" s="23" t="n">
        <v>387000</v>
      </c>
      <c r="F109" s="23" t="n">
        <v>116909.71</v>
      </c>
      <c r="G109" s="23" t="n">
        <v>270090.29</v>
      </c>
      <c r="H109" s="31" t="n">
        <v>0.3021</v>
      </c>
      <c r="I109" s="22" t="inlineStr">
        <is>
          <t>Within</t>
        </is>
      </c>
    </row>
    <row r="110">
      <c r="A110" s="22" t="inlineStr">
        <is>
          <t>PRJ-006</t>
        </is>
      </c>
      <c r="B110" s="22" t="inlineStr">
        <is>
          <t>Rural Health Centre Strengthening - Jamshoro</t>
        </is>
      </c>
      <c r="C110" s="22" t="inlineStr">
        <is>
          <t>FY2026-27</t>
        </is>
      </c>
      <c r="D110" s="22" t="inlineStr">
        <is>
          <t>Laboratory</t>
        </is>
      </c>
      <c r="E110" s="23" t="n">
        <v>417000</v>
      </c>
      <c r="F110" s="23" t="n">
        <v>146499.12</v>
      </c>
      <c r="G110" s="23" t="n">
        <v>270500.88</v>
      </c>
      <c r="H110" s="31" t="n">
        <v>0.3513</v>
      </c>
      <c r="I110" s="22" t="inlineStr">
        <is>
          <t>Within</t>
        </is>
      </c>
    </row>
    <row r="111">
      <c r="A111" s="22" t="inlineStr">
        <is>
          <t>PRJ-006</t>
        </is>
      </c>
      <c r="B111" s="22" t="inlineStr">
        <is>
          <t>Rural Health Centre Strengthening - Jamshoro</t>
        </is>
      </c>
      <c r="C111" s="22" t="inlineStr">
        <is>
          <t>FY2026-27</t>
        </is>
      </c>
      <c r="D111" s="22" t="inlineStr">
        <is>
          <t>Medical Consumables</t>
        </is>
      </c>
      <c r="E111" s="23" t="n">
        <v>1057000</v>
      </c>
      <c r="F111" s="23" t="n">
        <v>986544.65</v>
      </c>
      <c r="G111" s="23" t="n">
        <v>70455.35000000001</v>
      </c>
      <c r="H111" s="31" t="n">
        <v>0.9333</v>
      </c>
      <c r="I111" s="22" t="inlineStr">
        <is>
          <t>Watch</t>
        </is>
      </c>
    </row>
    <row r="112">
      <c r="A112" s="22" t="inlineStr">
        <is>
          <t>PRJ-006</t>
        </is>
      </c>
      <c r="B112" s="22" t="inlineStr">
        <is>
          <t>Rural Health Centre Strengthening - Jamshoro</t>
        </is>
      </c>
      <c r="C112" s="22" t="inlineStr">
        <is>
          <t>FY2026-27</t>
        </is>
      </c>
      <c r="D112" s="22" t="inlineStr">
        <is>
          <t>Medicines</t>
        </is>
      </c>
      <c r="E112" s="23" t="n">
        <v>2060000</v>
      </c>
      <c r="F112" s="23" t="n">
        <v>703293.95</v>
      </c>
      <c r="G112" s="23" t="n">
        <v>1356706.05</v>
      </c>
      <c r="H112" s="31" t="n">
        <v>0.3414</v>
      </c>
      <c r="I112" s="22" t="inlineStr">
        <is>
          <t>Within</t>
        </is>
      </c>
    </row>
    <row r="113">
      <c r="A113" s="22" t="inlineStr">
        <is>
          <t>PRJ-006</t>
        </is>
      </c>
      <c r="B113" s="22" t="inlineStr">
        <is>
          <t>Rural Health Centre Strengthening - Jamshoro</t>
        </is>
      </c>
      <c r="C113" s="22" t="inlineStr">
        <is>
          <t>FY2026-27</t>
        </is>
      </c>
      <c r="D113" s="22" t="inlineStr">
        <is>
          <t>Nutrition</t>
        </is>
      </c>
      <c r="E113" s="23" t="n">
        <v>1146000</v>
      </c>
      <c r="F113" s="23" t="n">
        <v>645632.8</v>
      </c>
      <c r="G113" s="23" t="n">
        <v>500367.2</v>
      </c>
      <c r="H113" s="31" t="n">
        <v>0.5634</v>
      </c>
      <c r="I113" s="22" t="inlineStr">
        <is>
          <t>Within</t>
        </is>
      </c>
    </row>
    <row r="114">
      <c r="A114" s="22" t="inlineStr">
        <is>
          <t>PRJ-007</t>
        </is>
      </c>
      <c r="B114" s="22" t="inlineStr">
        <is>
          <t>Community Health Worker Programme - Bin Qasim</t>
        </is>
      </c>
      <c r="C114" s="22" t="inlineStr">
        <is>
          <t>FY2024-25</t>
        </is>
      </c>
      <c r="D114" s="22" t="inlineStr">
        <is>
          <t>Equipment</t>
        </is>
      </c>
      <c r="E114" s="23" t="n">
        <v>664000</v>
      </c>
      <c r="F114" s="23" t="n">
        <v>0</v>
      </c>
      <c r="G114" s="23" t="n">
        <v>664000</v>
      </c>
      <c r="H114" s="31" t="n">
        <v>0</v>
      </c>
      <c r="I114" s="22" t="inlineStr">
        <is>
          <t>Within</t>
        </is>
      </c>
    </row>
    <row r="115">
      <c r="A115" s="22" t="inlineStr">
        <is>
          <t>PRJ-007</t>
        </is>
      </c>
      <c r="B115" s="22" t="inlineStr">
        <is>
          <t>Community Health Worker Programme - Bin Qasim</t>
        </is>
      </c>
      <c r="C115" s="22" t="inlineStr">
        <is>
          <t>FY2024-25</t>
        </is>
      </c>
      <c r="D115" s="22" t="inlineStr">
        <is>
          <t>General Items</t>
        </is>
      </c>
      <c r="E115" s="23" t="n">
        <v>623000</v>
      </c>
      <c r="F115" s="23" t="n">
        <v>607156.6800000001</v>
      </c>
      <c r="G115" s="23" t="n">
        <v>15843.32</v>
      </c>
      <c r="H115" s="31" t="n">
        <v>0.9746</v>
      </c>
      <c r="I115" s="22" t="inlineStr">
        <is>
          <t>Watch</t>
        </is>
      </c>
    </row>
    <row r="116">
      <c r="A116" s="22" t="inlineStr">
        <is>
          <t>PRJ-007</t>
        </is>
      </c>
      <c r="B116" s="22" t="inlineStr">
        <is>
          <t>Community Health Worker Programme - Bin Qasim</t>
        </is>
      </c>
      <c r="C116" s="22" t="inlineStr">
        <is>
          <t>FY2024-25</t>
        </is>
      </c>
      <c r="D116" s="22" t="inlineStr">
        <is>
          <t>Laboratory</t>
        </is>
      </c>
      <c r="E116" s="23" t="n">
        <v>606000</v>
      </c>
      <c r="F116" s="23" t="n">
        <v>154742.24</v>
      </c>
      <c r="G116" s="23" t="n">
        <v>451257.76</v>
      </c>
      <c r="H116" s="31" t="n">
        <v>0.2554</v>
      </c>
      <c r="I116" s="22" t="inlineStr">
        <is>
          <t>Within</t>
        </is>
      </c>
    </row>
    <row r="117">
      <c r="A117" s="22" t="inlineStr">
        <is>
          <t>PRJ-007</t>
        </is>
      </c>
      <c r="B117" s="22" t="inlineStr">
        <is>
          <t>Community Health Worker Programme - Bin Qasim</t>
        </is>
      </c>
      <c r="C117" s="22" t="inlineStr">
        <is>
          <t>FY2024-25</t>
        </is>
      </c>
      <c r="D117" s="22" t="inlineStr">
        <is>
          <t>Medical Consumables</t>
        </is>
      </c>
      <c r="E117" s="23" t="n">
        <v>1590000</v>
      </c>
      <c r="F117" s="23" t="n">
        <v>1386578.45</v>
      </c>
      <c r="G117" s="23" t="n">
        <v>203421.55</v>
      </c>
      <c r="H117" s="31" t="n">
        <v>0.8721</v>
      </c>
      <c r="I117" s="22" t="inlineStr">
        <is>
          <t>Watch</t>
        </is>
      </c>
    </row>
    <row r="118">
      <c r="A118" s="22" t="inlineStr">
        <is>
          <t>PRJ-007</t>
        </is>
      </c>
      <c r="B118" s="22" t="inlineStr">
        <is>
          <t>Community Health Worker Programme - Bin Qasim</t>
        </is>
      </c>
      <c r="C118" s="22" t="inlineStr">
        <is>
          <t>FY2024-25</t>
        </is>
      </c>
      <c r="D118" s="22" t="inlineStr">
        <is>
          <t>Medicines</t>
        </is>
      </c>
      <c r="E118" s="23" t="n">
        <v>2967000</v>
      </c>
      <c r="F118" s="23" t="n">
        <v>1650793.45</v>
      </c>
      <c r="G118" s="23" t="n">
        <v>1316206.55</v>
      </c>
      <c r="H118" s="31" t="n">
        <v>0.5564</v>
      </c>
      <c r="I118" s="22" t="inlineStr">
        <is>
          <t>Within</t>
        </is>
      </c>
    </row>
    <row r="119">
      <c r="A119" s="22" t="inlineStr">
        <is>
          <t>PRJ-007</t>
        </is>
      </c>
      <c r="B119" s="22" t="inlineStr">
        <is>
          <t>Community Health Worker Programme - Bin Qasim</t>
        </is>
      </c>
      <c r="C119" s="22" t="inlineStr">
        <is>
          <t>FY2024-25</t>
        </is>
      </c>
      <c r="D119" s="22" t="inlineStr">
        <is>
          <t>Nutrition</t>
        </is>
      </c>
      <c r="E119" s="23" t="n">
        <v>1674000</v>
      </c>
      <c r="F119" s="23" t="n">
        <v>2173346.6</v>
      </c>
      <c r="G119" s="23" t="n">
        <v>-499346.6</v>
      </c>
      <c r="H119" s="31" t="n">
        <v>1.2983</v>
      </c>
      <c r="I119" s="22" t="inlineStr">
        <is>
          <t>Over budget</t>
        </is>
      </c>
    </row>
    <row r="120">
      <c r="A120" s="22" t="inlineStr">
        <is>
          <t>PRJ-007</t>
        </is>
      </c>
      <c r="B120" s="22" t="inlineStr">
        <is>
          <t>Community Health Worker Programme - Bin Qasim</t>
        </is>
      </c>
      <c r="C120" s="22" t="inlineStr">
        <is>
          <t>FY2025-26</t>
        </is>
      </c>
      <c r="D120" s="22" t="inlineStr">
        <is>
          <t>Equipment</t>
        </is>
      </c>
      <c r="E120" s="23" t="n">
        <v>677000</v>
      </c>
      <c r="F120" s="23" t="n">
        <v>0</v>
      </c>
      <c r="G120" s="23" t="n">
        <v>677000</v>
      </c>
      <c r="H120" s="31" t="n">
        <v>0</v>
      </c>
      <c r="I120" s="22" t="inlineStr">
        <is>
          <t>Within</t>
        </is>
      </c>
    </row>
    <row r="121">
      <c r="A121" s="22" t="inlineStr">
        <is>
          <t>PRJ-007</t>
        </is>
      </c>
      <c r="B121" s="22" t="inlineStr">
        <is>
          <t>Community Health Worker Programme - Bin Qasim</t>
        </is>
      </c>
      <c r="C121" s="22" t="inlineStr">
        <is>
          <t>FY2025-26</t>
        </is>
      </c>
      <c r="D121" s="22" t="inlineStr">
        <is>
          <t>General Items</t>
        </is>
      </c>
      <c r="E121" s="23" t="n">
        <v>535000</v>
      </c>
      <c r="F121" s="23" t="n">
        <v>717468.46</v>
      </c>
      <c r="G121" s="23" t="n">
        <v>-182468.46</v>
      </c>
      <c r="H121" s="31" t="n">
        <v>1.3411</v>
      </c>
      <c r="I121" s="22" t="inlineStr">
        <is>
          <t>Over budget</t>
        </is>
      </c>
    </row>
    <row r="122">
      <c r="A122" s="22" t="inlineStr">
        <is>
          <t>PRJ-007</t>
        </is>
      </c>
      <c r="B122" s="22" t="inlineStr">
        <is>
          <t>Community Health Worker Programme - Bin Qasim</t>
        </is>
      </c>
      <c r="C122" s="22" t="inlineStr">
        <is>
          <t>FY2025-26</t>
        </is>
      </c>
      <c r="D122" s="22" t="inlineStr">
        <is>
          <t>Laboratory</t>
        </is>
      </c>
      <c r="E122" s="23" t="n">
        <v>517000</v>
      </c>
      <c r="F122" s="23" t="n">
        <v>199155.67</v>
      </c>
      <c r="G122" s="23" t="n">
        <v>317844.33</v>
      </c>
      <c r="H122" s="31" t="n">
        <v>0.3852</v>
      </c>
      <c r="I122" s="22" t="inlineStr">
        <is>
          <t>Within</t>
        </is>
      </c>
    </row>
    <row r="123">
      <c r="A123" s="22" t="inlineStr">
        <is>
          <t>PRJ-007</t>
        </is>
      </c>
      <c r="B123" s="22" t="inlineStr">
        <is>
          <t>Community Health Worker Programme - Bin Qasim</t>
        </is>
      </c>
      <c r="C123" s="22" t="inlineStr">
        <is>
          <t>FY2025-26</t>
        </is>
      </c>
      <c r="D123" s="22" t="inlineStr">
        <is>
          <t>Medical Consumables</t>
        </is>
      </c>
      <c r="E123" s="23" t="n">
        <v>1267000</v>
      </c>
      <c r="F123" s="23" t="n">
        <v>1889807.43</v>
      </c>
      <c r="G123" s="23" t="n">
        <v>-622807.4300000001</v>
      </c>
      <c r="H123" s="31" t="n">
        <v>1.4916</v>
      </c>
      <c r="I123" s="22" t="inlineStr">
        <is>
          <t>Over budget</t>
        </is>
      </c>
    </row>
    <row r="124">
      <c r="A124" s="22" t="inlineStr">
        <is>
          <t>PRJ-007</t>
        </is>
      </c>
      <c r="B124" s="22" t="inlineStr">
        <is>
          <t>Community Health Worker Programme - Bin Qasim</t>
        </is>
      </c>
      <c r="C124" s="22" t="inlineStr">
        <is>
          <t>FY2025-26</t>
        </is>
      </c>
      <c r="D124" s="22" t="inlineStr">
        <is>
          <t>Medicines</t>
        </is>
      </c>
      <c r="E124" s="23" t="n">
        <v>2770000</v>
      </c>
      <c r="F124" s="23" t="n">
        <v>2092108.99</v>
      </c>
      <c r="G124" s="23" t="n">
        <v>677891.01</v>
      </c>
      <c r="H124" s="31" t="n">
        <v>0.7553</v>
      </c>
      <c r="I124" s="22" t="inlineStr">
        <is>
          <t>Within</t>
        </is>
      </c>
    </row>
    <row r="125">
      <c r="A125" s="22" t="inlineStr">
        <is>
          <t>PRJ-007</t>
        </is>
      </c>
      <c r="B125" s="22" t="inlineStr">
        <is>
          <t>Community Health Worker Programme - Bin Qasim</t>
        </is>
      </c>
      <c r="C125" s="22" t="inlineStr">
        <is>
          <t>FY2025-26</t>
        </is>
      </c>
      <c r="D125" s="22" t="inlineStr">
        <is>
          <t>Nutrition</t>
        </is>
      </c>
      <c r="E125" s="23" t="n">
        <v>1456000</v>
      </c>
      <c r="F125" s="23" t="n">
        <v>2261158.26</v>
      </c>
      <c r="G125" s="23" t="n">
        <v>-805158.26</v>
      </c>
      <c r="H125" s="31" t="n">
        <v>1.553</v>
      </c>
      <c r="I125" s="22" t="inlineStr">
        <is>
          <t>Over budget</t>
        </is>
      </c>
    </row>
    <row r="126">
      <c r="A126" s="22" t="inlineStr">
        <is>
          <t>PRJ-007</t>
        </is>
      </c>
      <c r="B126" s="22" t="inlineStr">
        <is>
          <t>Community Health Worker Programme - Bin Qasim</t>
        </is>
      </c>
      <c r="C126" s="22" t="inlineStr">
        <is>
          <t>FY2026-27</t>
        </is>
      </c>
      <c r="D126" s="22" t="inlineStr">
        <is>
          <t>Equipment</t>
        </is>
      </c>
      <c r="E126" s="23" t="n">
        <v>316000</v>
      </c>
      <c r="F126" s="23" t="n">
        <v>0</v>
      </c>
      <c r="G126" s="23" t="n">
        <v>316000</v>
      </c>
      <c r="H126" s="31" t="n">
        <v>0</v>
      </c>
      <c r="I126" s="22" t="inlineStr">
        <is>
          <t>Within</t>
        </is>
      </c>
    </row>
    <row r="127">
      <c r="A127" s="22" t="inlineStr">
        <is>
          <t>PRJ-007</t>
        </is>
      </c>
      <c r="B127" s="22" t="inlineStr">
        <is>
          <t>Community Health Worker Programme - Bin Qasim</t>
        </is>
      </c>
      <c r="C127" s="22" t="inlineStr">
        <is>
          <t>FY2026-27</t>
        </is>
      </c>
      <c r="D127" s="22" t="inlineStr">
        <is>
          <t>General Items</t>
        </is>
      </c>
      <c r="E127" s="23" t="n">
        <v>295000</v>
      </c>
      <c r="F127" s="23" t="n">
        <v>0</v>
      </c>
      <c r="G127" s="23" t="n">
        <v>295000</v>
      </c>
      <c r="H127" s="31" t="n">
        <v>0</v>
      </c>
      <c r="I127" s="22" t="inlineStr">
        <is>
          <t>Within</t>
        </is>
      </c>
    </row>
    <row r="128">
      <c r="A128" s="22" t="inlineStr">
        <is>
          <t>PRJ-007</t>
        </is>
      </c>
      <c r="B128" s="22" t="inlineStr">
        <is>
          <t>Community Health Worker Programme - Bin Qasim</t>
        </is>
      </c>
      <c r="C128" s="22" t="inlineStr">
        <is>
          <t>FY2026-27</t>
        </is>
      </c>
      <c r="D128" s="22" t="inlineStr">
        <is>
          <t>Laboratory</t>
        </is>
      </c>
      <c r="E128" s="23" t="n">
        <v>269000</v>
      </c>
      <c r="F128" s="23" t="n">
        <v>0</v>
      </c>
      <c r="G128" s="23" t="n">
        <v>269000</v>
      </c>
      <c r="H128" s="31" t="n">
        <v>0</v>
      </c>
      <c r="I128" s="22" t="inlineStr">
        <is>
          <t>Within</t>
        </is>
      </c>
    </row>
    <row r="129">
      <c r="A129" s="22" t="inlineStr">
        <is>
          <t>PRJ-007</t>
        </is>
      </c>
      <c r="B129" s="22" t="inlineStr">
        <is>
          <t>Community Health Worker Programme - Bin Qasim</t>
        </is>
      </c>
      <c r="C129" s="22" t="inlineStr">
        <is>
          <t>FY2026-27</t>
        </is>
      </c>
      <c r="D129" s="22" t="inlineStr">
        <is>
          <t>Medical Consumables</t>
        </is>
      </c>
      <c r="E129" s="23" t="n">
        <v>728000</v>
      </c>
      <c r="F129" s="23" t="n">
        <v>0</v>
      </c>
      <c r="G129" s="23" t="n">
        <v>728000</v>
      </c>
      <c r="H129" s="31" t="n">
        <v>0</v>
      </c>
      <c r="I129" s="22" t="inlineStr">
        <is>
          <t>Within</t>
        </is>
      </c>
    </row>
    <row r="130">
      <c r="A130" s="22" t="inlineStr">
        <is>
          <t>PRJ-007</t>
        </is>
      </c>
      <c r="B130" s="22" t="inlineStr">
        <is>
          <t>Community Health Worker Programme - Bin Qasim</t>
        </is>
      </c>
      <c r="C130" s="22" t="inlineStr">
        <is>
          <t>FY2026-27</t>
        </is>
      </c>
      <c r="D130" s="22" t="inlineStr">
        <is>
          <t>Medicines</t>
        </is>
      </c>
      <c r="E130" s="23" t="n">
        <v>1565000</v>
      </c>
      <c r="F130" s="23" t="n">
        <v>0</v>
      </c>
      <c r="G130" s="23" t="n">
        <v>1565000</v>
      </c>
      <c r="H130" s="31" t="n">
        <v>0</v>
      </c>
      <c r="I130" s="22" t="inlineStr">
        <is>
          <t>Within</t>
        </is>
      </c>
    </row>
    <row r="131">
      <c r="A131" s="22" t="inlineStr">
        <is>
          <t>PRJ-007</t>
        </is>
      </c>
      <c r="B131" s="22" t="inlineStr">
        <is>
          <t>Community Health Worker Programme - Bin Qasim</t>
        </is>
      </c>
      <c r="C131" s="22" t="inlineStr">
        <is>
          <t>FY2026-27</t>
        </is>
      </c>
      <c r="D131" s="22" t="inlineStr">
        <is>
          <t>Nutrition</t>
        </is>
      </c>
      <c r="E131" s="23" t="n">
        <v>812000</v>
      </c>
      <c r="F131" s="23" t="n">
        <v>0</v>
      </c>
      <c r="G131" s="23" t="n">
        <v>812000</v>
      </c>
      <c r="H131" s="31" t="n">
        <v>0</v>
      </c>
      <c r="I131" s="22" t="inlineStr">
        <is>
          <t>Within</t>
        </is>
      </c>
    </row>
    <row r="132">
      <c r="A132" s="22" t="inlineStr">
        <is>
          <t>PRJ-008</t>
        </is>
      </c>
      <c r="B132" s="22" t="inlineStr">
        <is>
          <t>Emergency Obstetric Care - Lyari</t>
        </is>
      </c>
      <c r="C132" s="22" t="inlineStr">
        <is>
          <t>FY2024-25</t>
        </is>
      </c>
      <c r="D132" s="22" t="inlineStr">
        <is>
          <t>Equipment</t>
        </is>
      </c>
      <c r="E132" s="23" t="n">
        <v>851000</v>
      </c>
      <c r="F132" s="23" t="n">
        <v>0</v>
      </c>
      <c r="G132" s="23" t="n">
        <v>851000</v>
      </c>
      <c r="H132" s="31" t="n">
        <v>0</v>
      </c>
      <c r="I132" s="22" t="inlineStr">
        <is>
          <t>Within</t>
        </is>
      </c>
    </row>
    <row r="133">
      <c r="A133" s="22" t="inlineStr">
        <is>
          <t>PRJ-008</t>
        </is>
      </c>
      <c r="B133" s="22" t="inlineStr">
        <is>
          <t>Emergency Obstetric Care - Lyari</t>
        </is>
      </c>
      <c r="C133" s="22" t="inlineStr">
        <is>
          <t>FY2024-25</t>
        </is>
      </c>
      <c r="D133" s="22" t="inlineStr">
        <is>
          <t>General Items</t>
        </is>
      </c>
      <c r="E133" s="23" t="n">
        <v>716000</v>
      </c>
      <c r="F133" s="23" t="n">
        <v>167991.87</v>
      </c>
      <c r="G133" s="23" t="n">
        <v>548008.13</v>
      </c>
      <c r="H133" s="31" t="n">
        <v>0.2346</v>
      </c>
      <c r="I133" s="22" t="inlineStr">
        <is>
          <t>Within</t>
        </is>
      </c>
    </row>
    <row r="134">
      <c r="A134" s="22" t="inlineStr">
        <is>
          <t>PRJ-008</t>
        </is>
      </c>
      <c r="B134" s="22" t="inlineStr">
        <is>
          <t>Emergency Obstetric Care - Lyari</t>
        </is>
      </c>
      <c r="C134" s="22" t="inlineStr">
        <is>
          <t>FY2024-25</t>
        </is>
      </c>
      <c r="D134" s="22" t="inlineStr">
        <is>
          <t>Laboratory</t>
        </is>
      </c>
      <c r="E134" s="23" t="n">
        <v>714000</v>
      </c>
      <c r="F134" s="23" t="n">
        <v>207531.94</v>
      </c>
      <c r="G134" s="23" t="n">
        <v>506468.06</v>
      </c>
      <c r="H134" s="31" t="n">
        <v>0.2907</v>
      </c>
      <c r="I134" s="22" t="inlineStr">
        <is>
          <t>Within</t>
        </is>
      </c>
    </row>
    <row r="135">
      <c r="A135" s="22" t="inlineStr">
        <is>
          <t>PRJ-008</t>
        </is>
      </c>
      <c r="B135" s="22" t="inlineStr">
        <is>
          <t>Emergency Obstetric Care - Lyari</t>
        </is>
      </c>
      <c r="C135" s="22" t="inlineStr">
        <is>
          <t>FY2024-25</t>
        </is>
      </c>
      <c r="D135" s="22" t="inlineStr">
        <is>
          <t>Medical Consumables</t>
        </is>
      </c>
      <c r="E135" s="23" t="n">
        <v>1742000</v>
      </c>
      <c r="F135" s="23" t="n">
        <v>1621937.16</v>
      </c>
      <c r="G135" s="23" t="n">
        <v>120062.84</v>
      </c>
      <c r="H135" s="31" t="n">
        <v>0.9311</v>
      </c>
      <c r="I135" s="22" t="inlineStr">
        <is>
          <t>Watch</t>
        </is>
      </c>
    </row>
    <row r="136">
      <c r="A136" s="22" t="inlineStr">
        <is>
          <t>PRJ-008</t>
        </is>
      </c>
      <c r="B136" s="22" t="inlineStr">
        <is>
          <t>Emergency Obstetric Care - Lyari</t>
        </is>
      </c>
      <c r="C136" s="22" t="inlineStr">
        <is>
          <t>FY2024-25</t>
        </is>
      </c>
      <c r="D136" s="22" t="inlineStr">
        <is>
          <t>Medicines</t>
        </is>
      </c>
      <c r="E136" s="23" t="n">
        <v>3495000</v>
      </c>
      <c r="F136" s="23" t="n">
        <v>1657693.03</v>
      </c>
      <c r="G136" s="23" t="n">
        <v>1837306.97</v>
      </c>
      <c r="H136" s="31" t="n">
        <v>0.4743</v>
      </c>
      <c r="I136" s="22" t="inlineStr">
        <is>
          <t>Within</t>
        </is>
      </c>
    </row>
    <row r="137">
      <c r="A137" s="22" t="inlineStr">
        <is>
          <t>PRJ-008</t>
        </is>
      </c>
      <c r="B137" s="22" t="inlineStr">
        <is>
          <t>Emergency Obstetric Care - Lyari</t>
        </is>
      </c>
      <c r="C137" s="22" t="inlineStr">
        <is>
          <t>FY2024-25</t>
        </is>
      </c>
      <c r="D137" s="22" t="inlineStr">
        <is>
          <t>Nutrition</t>
        </is>
      </c>
      <c r="E137" s="23" t="n">
        <v>1909000</v>
      </c>
      <c r="F137" s="23" t="n">
        <v>542212.98</v>
      </c>
      <c r="G137" s="23" t="n">
        <v>1366787.02</v>
      </c>
      <c r="H137" s="31" t="n">
        <v>0.284</v>
      </c>
      <c r="I137" s="22" t="inlineStr">
        <is>
          <t>Within</t>
        </is>
      </c>
    </row>
    <row r="138">
      <c r="A138" s="22" t="inlineStr">
        <is>
          <t>PRJ-008</t>
        </is>
      </c>
      <c r="B138" s="22" t="inlineStr">
        <is>
          <t>Emergency Obstetric Care - Lyari</t>
        </is>
      </c>
      <c r="C138" s="22" t="inlineStr">
        <is>
          <t>FY2025-26</t>
        </is>
      </c>
      <c r="D138" s="22" t="inlineStr">
        <is>
          <t>Equipment</t>
        </is>
      </c>
      <c r="E138" s="23" t="n">
        <v>800000</v>
      </c>
      <c r="F138" s="23" t="n">
        <v>18452.05</v>
      </c>
      <c r="G138" s="23" t="n">
        <v>781547.95</v>
      </c>
      <c r="H138" s="31" t="n">
        <v>0.0231</v>
      </c>
      <c r="I138" s="22" t="inlineStr">
        <is>
          <t>Within</t>
        </is>
      </c>
    </row>
    <row r="139">
      <c r="A139" s="22" t="inlineStr">
        <is>
          <t>PRJ-008</t>
        </is>
      </c>
      <c r="B139" s="22" t="inlineStr">
        <is>
          <t>Emergency Obstetric Care - Lyari</t>
        </is>
      </c>
      <c r="C139" s="22" t="inlineStr">
        <is>
          <t>FY2025-26</t>
        </is>
      </c>
      <c r="D139" s="22" t="inlineStr">
        <is>
          <t>General Items</t>
        </is>
      </c>
      <c r="E139" s="23" t="n">
        <v>637000</v>
      </c>
      <c r="F139" s="23" t="n">
        <v>300891.52</v>
      </c>
      <c r="G139" s="23" t="n">
        <v>336108.48</v>
      </c>
      <c r="H139" s="31" t="n">
        <v>0.4724</v>
      </c>
      <c r="I139" s="22" t="inlineStr">
        <is>
          <t>Within</t>
        </is>
      </c>
    </row>
    <row r="140">
      <c r="A140" s="22" t="inlineStr">
        <is>
          <t>PRJ-008</t>
        </is>
      </c>
      <c r="B140" s="22" t="inlineStr">
        <is>
          <t>Emergency Obstetric Care - Lyari</t>
        </is>
      </c>
      <c r="C140" s="22" t="inlineStr">
        <is>
          <t>FY2025-26</t>
        </is>
      </c>
      <c r="D140" s="22" t="inlineStr">
        <is>
          <t>Laboratory</t>
        </is>
      </c>
      <c r="E140" s="23" t="n">
        <v>635000</v>
      </c>
      <c r="F140" s="23" t="n">
        <v>476497.26</v>
      </c>
      <c r="G140" s="23" t="n">
        <v>158502.74</v>
      </c>
      <c r="H140" s="31" t="n">
        <v>0.7504</v>
      </c>
      <c r="I140" s="22" t="inlineStr">
        <is>
          <t>Within</t>
        </is>
      </c>
    </row>
    <row r="141">
      <c r="A141" s="22" t="inlineStr">
        <is>
          <t>PRJ-008</t>
        </is>
      </c>
      <c r="B141" s="22" t="inlineStr">
        <is>
          <t>Emergency Obstetric Care - Lyari</t>
        </is>
      </c>
      <c r="C141" s="22" t="inlineStr">
        <is>
          <t>FY2025-26</t>
        </is>
      </c>
      <c r="D141" s="22" t="inlineStr">
        <is>
          <t>Medical Consumables</t>
        </is>
      </c>
      <c r="E141" s="23" t="n">
        <v>1584000</v>
      </c>
      <c r="F141" s="23" t="n">
        <v>4195189.02</v>
      </c>
      <c r="G141" s="23" t="n">
        <v>-2611189.02</v>
      </c>
      <c r="H141" s="31" t="n">
        <v>2.6485</v>
      </c>
      <c r="I141" s="22" t="inlineStr">
        <is>
          <t>Over budget</t>
        </is>
      </c>
    </row>
    <row r="142">
      <c r="A142" s="22" t="inlineStr">
        <is>
          <t>PRJ-008</t>
        </is>
      </c>
      <c r="B142" s="22" t="inlineStr">
        <is>
          <t>Emergency Obstetric Care - Lyari</t>
        </is>
      </c>
      <c r="C142" s="22" t="inlineStr">
        <is>
          <t>FY2025-26</t>
        </is>
      </c>
      <c r="D142" s="22" t="inlineStr">
        <is>
          <t>Medicines</t>
        </is>
      </c>
      <c r="E142" s="23" t="n">
        <v>3324000</v>
      </c>
      <c r="F142" s="23" t="n">
        <v>3908612.08</v>
      </c>
      <c r="G142" s="23" t="n">
        <v>-584612.08</v>
      </c>
      <c r="H142" s="31" t="n">
        <v>1.1759</v>
      </c>
      <c r="I142" s="22" t="inlineStr">
        <is>
          <t>Over budget</t>
        </is>
      </c>
    </row>
    <row r="143">
      <c r="A143" s="22" t="inlineStr">
        <is>
          <t>PRJ-008</t>
        </is>
      </c>
      <c r="B143" s="22" t="inlineStr">
        <is>
          <t>Emergency Obstetric Care - Lyari</t>
        </is>
      </c>
      <c r="C143" s="22" t="inlineStr">
        <is>
          <t>FY2025-26</t>
        </is>
      </c>
      <c r="D143" s="22" t="inlineStr">
        <is>
          <t>Nutrition</t>
        </is>
      </c>
      <c r="E143" s="23" t="n">
        <v>1849000</v>
      </c>
      <c r="F143" s="23" t="n">
        <v>804948.76</v>
      </c>
      <c r="G143" s="23" t="n">
        <v>1044051.24</v>
      </c>
      <c r="H143" s="31" t="n">
        <v>0.4353</v>
      </c>
      <c r="I143" s="22" t="inlineStr">
        <is>
          <t>Within</t>
        </is>
      </c>
    </row>
    <row r="144">
      <c r="A144" s="22" t="inlineStr">
        <is>
          <t>PRJ-008</t>
        </is>
      </c>
      <c r="B144" s="22" t="inlineStr">
        <is>
          <t>Emergency Obstetric Care - Lyari</t>
        </is>
      </c>
      <c r="C144" s="22" t="inlineStr">
        <is>
          <t>FY2026-27</t>
        </is>
      </c>
      <c r="D144" s="22" t="inlineStr">
        <is>
          <t>Equipment</t>
        </is>
      </c>
      <c r="E144" s="23" t="n">
        <v>388000</v>
      </c>
      <c r="F144" s="23" t="n">
        <v>0</v>
      </c>
      <c r="G144" s="23" t="n">
        <v>388000</v>
      </c>
      <c r="H144" s="31" t="n">
        <v>0</v>
      </c>
      <c r="I144" s="22" t="inlineStr">
        <is>
          <t>Within</t>
        </is>
      </c>
    </row>
    <row r="145">
      <c r="A145" s="22" t="inlineStr">
        <is>
          <t>PRJ-008</t>
        </is>
      </c>
      <c r="B145" s="22" t="inlineStr">
        <is>
          <t>Emergency Obstetric Care - Lyari</t>
        </is>
      </c>
      <c r="C145" s="22" t="inlineStr">
        <is>
          <t>FY2026-27</t>
        </is>
      </c>
      <c r="D145" s="22" t="inlineStr">
        <is>
          <t>General Items</t>
        </is>
      </c>
      <c r="E145" s="23" t="n">
        <v>324000</v>
      </c>
      <c r="F145" s="23" t="n">
        <v>97729.17</v>
      </c>
      <c r="G145" s="23" t="n">
        <v>226270.83</v>
      </c>
      <c r="H145" s="31" t="n">
        <v>0.3016</v>
      </c>
      <c r="I145" s="22" t="inlineStr">
        <is>
          <t>Within</t>
        </is>
      </c>
    </row>
    <row r="146">
      <c r="A146" s="22" t="inlineStr">
        <is>
          <t>PRJ-008</t>
        </is>
      </c>
      <c r="B146" s="22" t="inlineStr">
        <is>
          <t>Emergency Obstetric Care - Lyari</t>
        </is>
      </c>
      <c r="C146" s="22" t="inlineStr">
        <is>
          <t>FY2026-27</t>
        </is>
      </c>
      <c r="D146" s="22" t="inlineStr">
        <is>
          <t>Laboratory</t>
        </is>
      </c>
      <c r="E146" s="23" t="n">
        <v>344000</v>
      </c>
      <c r="F146" s="23" t="n">
        <v>87804.62</v>
      </c>
      <c r="G146" s="23" t="n">
        <v>256195.38</v>
      </c>
      <c r="H146" s="31" t="n">
        <v>0.2552</v>
      </c>
      <c r="I146" s="22" t="inlineStr">
        <is>
          <t>Within</t>
        </is>
      </c>
    </row>
    <row r="147">
      <c r="A147" s="22" t="inlineStr">
        <is>
          <t>PRJ-008</t>
        </is>
      </c>
      <c r="B147" s="22" t="inlineStr">
        <is>
          <t>Emergency Obstetric Care - Lyari</t>
        </is>
      </c>
      <c r="C147" s="22" t="inlineStr">
        <is>
          <t>FY2026-27</t>
        </is>
      </c>
      <c r="D147" s="22" t="inlineStr">
        <is>
          <t>Medical Consumables</t>
        </is>
      </c>
      <c r="E147" s="23" t="n">
        <v>914000</v>
      </c>
      <c r="F147" s="23" t="n">
        <v>1277057.32</v>
      </c>
      <c r="G147" s="23" t="n">
        <v>-363057.32</v>
      </c>
      <c r="H147" s="31" t="n">
        <v>1.3972</v>
      </c>
      <c r="I147" s="22" t="inlineStr">
        <is>
          <t>Over budget</t>
        </is>
      </c>
    </row>
    <row r="148">
      <c r="A148" s="22" t="inlineStr">
        <is>
          <t>PRJ-008</t>
        </is>
      </c>
      <c r="B148" s="22" t="inlineStr">
        <is>
          <t>Emergency Obstetric Care - Lyari</t>
        </is>
      </c>
      <c r="C148" s="22" t="inlineStr">
        <is>
          <t>FY2026-27</t>
        </is>
      </c>
      <c r="D148" s="22" t="inlineStr">
        <is>
          <t>Medicines</t>
        </is>
      </c>
      <c r="E148" s="23" t="n">
        <v>1697000</v>
      </c>
      <c r="F148" s="23" t="n">
        <v>1195361.62</v>
      </c>
      <c r="G148" s="23" t="n">
        <v>501638.38</v>
      </c>
      <c r="H148" s="31" t="n">
        <v>0.7044</v>
      </c>
      <c r="I148" s="22" t="inlineStr">
        <is>
          <t>Within</t>
        </is>
      </c>
    </row>
    <row r="149">
      <c r="A149" s="22" t="inlineStr">
        <is>
          <t>PRJ-008</t>
        </is>
      </c>
      <c r="B149" s="22" t="inlineStr">
        <is>
          <t>Emergency Obstetric Care - Lyari</t>
        </is>
      </c>
      <c r="C149" s="22" t="inlineStr">
        <is>
          <t>FY2026-27</t>
        </is>
      </c>
      <c r="D149" s="22" t="inlineStr">
        <is>
          <t>Nutrition</t>
        </is>
      </c>
      <c r="E149" s="23" t="n">
        <v>889000</v>
      </c>
      <c r="F149" s="23" t="n">
        <v>313938.96</v>
      </c>
      <c r="G149" s="23" t="n">
        <v>575061.04</v>
      </c>
      <c r="H149" s="31" t="n">
        <v>0.3531</v>
      </c>
      <c r="I149" s="22" t="inlineStr">
        <is>
          <t>Within</t>
        </is>
      </c>
    </row>
    <row r="150">
      <c r="A150" s="22" t="inlineStr">
        <is>
          <t>PRJ-009</t>
        </is>
      </c>
      <c r="B150" s="22" t="inlineStr">
        <is>
          <t>Hepatitis B &amp; C Screening - Keamari</t>
        </is>
      </c>
      <c r="C150" s="22" t="inlineStr">
        <is>
          <t>FY2024-25</t>
        </is>
      </c>
      <c r="D150" s="22" t="inlineStr">
        <is>
          <t>Equipment</t>
        </is>
      </c>
      <c r="E150" s="23" t="n">
        <v>562000</v>
      </c>
      <c r="F150" s="23" t="n">
        <v>33911.87</v>
      </c>
      <c r="G150" s="23" t="n">
        <v>528088.13</v>
      </c>
      <c r="H150" s="31" t="n">
        <v>0.0603</v>
      </c>
      <c r="I150" s="22" t="inlineStr">
        <is>
          <t>Within</t>
        </is>
      </c>
    </row>
    <row r="151">
      <c r="A151" s="22" t="inlineStr">
        <is>
          <t>PRJ-009</t>
        </is>
      </c>
      <c r="B151" s="22" t="inlineStr">
        <is>
          <t>Hepatitis B &amp; C Screening - Keamari</t>
        </is>
      </c>
      <c r="C151" s="22" t="inlineStr">
        <is>
          <t>FY2024-25</t>
        </is>
      </c>
      <c r="D151" s="22" t="inlineStr">
        <is>
          <t>General Items</t>
        </is>
      </c>
      <c r="E151" s="23" t="n">
        <v>416000</v>
      </c>
      <c r="F151" s="23" t="n">
        <v>229450.39</v>
      </c>
      <c r="G151" s="23" t="n">
        <v>186549.61</v>
      </c>
      <c r="H151" s="31" t="n">
        <v>0.5516</v>
      </c>
      <c r="I151" s="22" t="inlineStr">
        <is>
          <t>Within</t>
        </is>
      </c>
    </row>
    <row r="152">
      <c r="A152" s="22" t="inlineStr">
        <is>
          <t>PRJ-009</t>
        </is>
      </c>
      <c r="B152" s="22" t="inlineStr">
        <is>
          <t>Hepatitis B &amp; C Screening - Keamari</t>
        </is>
      </c>
      <c r="C152" s="22" t="inlineStr">
        <is>
          <t>FY2024-25</t>
        </is>
      </c>
      <c r="D152" s="22" t="inlineStr">
        <is>
          <t>Laboratory</t>
        </is>
      </c>
      <c r="E152" s="23" t="n">
        <v>444000</v>
      </c>
      <c r="F152" s="23" t="n">
        <v>1290967.16</v>
      </c>
      <c r="G152" s="23" t="n">
        <v>-846967.16</v>
      </c>
      <c r="H152" s="31" t="n">
        <v>2.9076</v>
      </c>
      <c r="I152" s="22" t="inlineStr">
        <is>
          <t>Over budget</t>
        </is>
      </c>
    </row>
    <row r="153">
      <c r="A153" s="22" t="inlineStr">
        <is>
          <t>PRJ-009</t>
        </is>
      </c>
      <c r="B153" s="22" t="inlineStr">
        <is>
          <t>Hepatitis B &amp; C Screening - Keamari</t>
        </is>
      </c>
      <c r="C153" s="22" t="inlineStr">
        <is>
          <t>FY2024-25</t>
        </is>
      </c>
      <c r="D153" s="22" t="inlineStr">
        <is>
          <t>Medical Consumables</t>
        </is>
      </c>
      <c r="E153" s="23" t="n">
        <v>1111000</v>
      </c>
      <c r="F153" s="23" t="n">
        <v>925251.5600000001</v>
      </c>
      <c r="G153" s="23" t="n">
        <v>185748.44</v>
      </c>
      <c r="H153" s="31" t="n">
        <v>0.8328</v>
      </c>
      <c r="I153" s="22" t="inlineStr">
        <is>
          <t>Within</t>
        </is>
      </c>
    </row>
    <row r="154">
      <c r="A154" s="22" t="inlineStr">
        <is>
          <t>PRJ-009</t>
        </is>
      </c>
      <c r="B154" s="22" t="inlineStr">
        <is>
          <t>Hepatitis B &amp; C Screening - Keamari</t>
        </is>
      </c>
      <c r="C154" s="22" t="inlineStr">
        <is>
          <t>FY2024-25</t>
        </is>
      </c>
      <c r="D154" s="22" t="inlineStr">
        <is>
          <t>Medicines</t>
        </is>
      </c>
      <c r="E154" s="23" t="n">
        <v>2297000</v>
      </c>
      <c r="F154" s="23" t="n">
        <v>1270815.26</v>
      </c>
      <c r="G154" s="23" t="n">
        <v>1026184.74</v>
      </c>
      <c r="H154" s="31" t="n">
        <v>0.5533</v>
      </c>
      <c r="I154" s="22" t="inlineStr">
        <is>
          <t>Within</t>
        </is>
      </c>
    </row>
    <row r="155">
      <c r="A155" s="22" t="inlineStr">
        <is>
          <t>PRJ-009</t>
        </is>
      </c>
      <c r="B155" s="22" t="inlineStr">
        <is>
          <t>Hepatitis B &amp; C Screening - Keamari</t>
        </is>
      </c>
      <c r="C155" s="22" t="inlineStr">
        <is>
          <t>FY2024-25</t>
        </is>
      </c>
      <c r="D155" s="22" t="inlineStr">
        <is>
          <t>Nutrition</t>
        </is>
      </c>
      <c r="E155" s="23" t="n">
        <v>1315000</v>
      </c>
      <c r="F155" s="23" t="n">
        <v>642362.5600000001</v>
      </c>
      <c r="G155" s="23" t="n">
        <v>672637.4399999999</v>
      </c>
      <c r="H155" s="31" t="n">
        <v>0.4885</v>
      </c>
      <c r="I155" s="22" t="inlineStr">
        <is>
          <t>Within</t>
        </is>
      </c>
    </row>
    <row r="156">
      <c r="A156" s="22" t="inlineStr">
        <is>
          <t>PRJ-010</t>
        </is>
      </c>
      <c r="B156" s="22" t="inlineStr">
        <is>
          <t>Thalassaemia Support Programme - Gadap</t>
        </is>
      </c>
      <c r="C156" s="22" t="inlineStr">
        <is>
          <t>FY2024-25</t>
        </is>
      </c>
      <c r="D156" s="22" t="inlineStr">
        <is>
          <t>Equipment</t>
        </is>
      </c>
      <c r="E156" s="23" t="n">
        <v>1039000</v>
      </c>
      <c r="F156" s="23" t="n">
        <v>12766.82</v>
      </c>
      <c r="G156" s="23" t="n">
        <v>1026233.18</v>
      </c>
      <c r="H156" s="31" t="n">
        <v>0.0123</v>
      </c>
      <c r="I156" s="22" t="inlineStr">
        <is>
          <t>Within</t>
        </is>
      </c>
    </row>
    <row r="157">
      <c r="A157" s="22" t="inlineStr">
        <is>
          <t>PRJ-010</t>
        </is>
      </c>
      <c r="B157" s="22" t="inlineStr">
        <is>
          <t>Thalassaemia Support Programme - Gadap</t>
        </is>
      </c>
      <c r="C157" s="22" t="inlineStr">
        <is>
          <t>FY2024-25</t>
        </is>
      </c>
      <c r="D157" s="22" t="inlineStr">
        <is>
          <t>General Items</t>
        </is>
      </c>
      <c r="E157" s="23" t="n">
        <v>940000</v>
      </c>
      <c r="F157" s="23" t="n">
        <v>375621.9</v>
      </c>
      <c r="G157" s="23" t="n">
        <v>564378.1</v>
      </c>
      <c r="H157" s="31" t="n">
        <v>0.3996</v>
      </c>
      <c r="I157" s="22" t="inlineStr">
        <is>
          <t>Within</t>
        </is>
      </c>
    </row>
    <row r="158">
      <c r="A158" s="22" t="inlineStr">
        <is>
          <t>PRJ-010</t>
        </is>
      </c>
      <c r="B158" s="22" t="inlineStr">
        <is>
          <t>Thalassaemia Support Programme - Gadap</t>
        </is>
      </c>
      <c r="C158" s="22" t="inlineStr">
        <is>
          <t>FY2024-25</t>
        </is>
      </c>
      <c r="D158" s="22" t="inlineStr">
        <is>
          <t>Laboratory</t>
        </is>
      </c>
      <c r="E158" s="23" t="n">
        <v>916000</v>
      </c>
      <c r="F158" s="23" t="n">
        <v>1291622.03</v>
      </c>
      <c r="G158" s="23" t="n">
        <v>-375622.03</v>
      </c>
      <c r="H158" s="31" t="n">
        <v>1.4101</v>
      </c>
      <c r="I158" s="22" t="inlineStr">
        <is>
          <t>Over budget</t>
        </is>
      </c>
    </row>
    <row r="159">
      <c r="A159" s="22" t="inlineStr">
        <is>
          <t>PRJ-010</t>
        </is>
      </c>
      <c r="B159" s="22" t="inlineStr">
        <is>
          <t>Thalassaemia Support Programme - Gadap</t>
        </is>
      </c>
      <c r="C159" s="22" t="inlineStr">
        <is>
          <t>FY2024-25</t>
        </is>
      </c>
      <c r="D159" s="22" t="inlineStr">
        <is>
          <t>Medical Consumables</t>
        </is>
      </c>
      <c r="E159" s="23" t="n">
        <v>2266000</v>
      </c>
      <c r="F159" s="23" t="n">
        <v>2492455</v>
      </c>
      <c r="G159" s="23" t="n">
        <v>-226455</v>
      </c>
      <c r="H159" s="31" t="n">
        <v>1.0999</v>
      </c>
      <c r="I159" s="22" t="inlineStr">
        <is>
          <t>Over budget</t>
        </is>
      </c>
    </row>
    <row r="160">
      <c r="A160" s="22" t="inlineStr">
        <is>
          <t>PRJ-010</t>
        </is>
      </c>
      <c r="B160" s="22" t="inlineStr">
        <is>
          <t>Thalassaemia Support Programme - Gadap</t>
        </is>
      </c>
      <c r="C160" s="22" t="inlineStr">
        <is>
          <t>FY2024-25</t>
        </is>
      </c>
      <c r="D160" s="22" t="inlineStr">
        <is>
          <t>Medicines</t>
        </is>
      </c>
      <c r="E160" s="23" t="n">
        <v>5001000</v>
      </c>
      <c r="F160" s="23" t="n">
        <v>4651053.09</v>
      </c>
      <c r="G160" s="23" t="n">
        <v>349946.91</v>
      </c>
      <c r="H160" s="31" t="n">
        <v>0.93</v>
      </c>
      <c r="I160" s="22" t="inlineStr">
        <is>
          <t>Watch</t>
        </is>
      </c>
    </row>
    <row r="161">
      <c r="A161" s="22" t="inlineStr">
        <is>
          <t>PRJ-010</t>
        </is>
      </c>
      <c r="B161" s="22" t="inlineStr">
        <is>
          <t>Thalassaemia Support Programme - Gadap</t>
        </is>
      </c>
      <c r="C161" s="22" t="inlineStr">
        <is>
          <t>FY2024-25</t>
        </is>
      </c>
      <c r="D161" s="22" t="inlineStr">
        <is>
          <t>Nutrition</t>
        </is>
      </c>
      <c r="E161" s="23" t="n">
        <v>2528000</v>
      </c>
      <c r="F161" s="23" t="n">
        <v>779676.1</v>
      </c>
      <c r="G161" s="23" t="n">
        <v>1748323.9</v>
      </c>
      <c r="H161" s="31" t="n">
        <v>0.3084</v>
      </c>
      <c r="I161" s="22" t="inlineStr">
        <is>
          <t>Within</t>
        </is>
      </c>
    </row>
    <row r="162">
      <c r="A162" s="22" t="inlineStr">
        <is>
          <t>PRJ-010</t>
        </is>
      </c>
      <c r="B162" s="22" t="inlineStr">
        <is>
          <t>Thalassaemia Support Programme - Gadap</t>
        </is>
      </c>
      <c r="C162" s="22" t="inlineStr">
        <is>
          <t>FY2025-26</t>
        </is>
      </c>
      <c r="D162" s="22" t="inlineStr">
        <is>
          <t>Equipment</t>
        </is>
      </c>
      <c r="E162" s="23" t="n">
        <v>974000</v>
      </c>
      <c r="F162" s="23" t="n">
        <v>0</v>
      </c>
      <c r="G162" s="23" t="n">
        <v>974000</v>
      </c>
      <c r="H162" s="31" t="n">
        <v>0</v>
      </c>
      <c r="I162" s="22" t="inlineStr">
        <is>
          <t>Within</t>
        </is>
      </c>
    </row>
    <row r="163">
      <c r="A163" s="22" t="inlineStr">
        <is>
          <t>PRJ-010</t>
        </is>
      </c>
      <c r="B163" s="22" t="inlineStr">
        <is>
          <t>Thalassaemia Support Programme - Gadap</t>
        </is>
      </c>
      <c r="C163" s="22" t="inlineStr">
        <is>
          <t>FY2025-26</t>
        </is>
      </c>
      <c r="D163" s="22" t="inlineStr">
        <is>
          <t>General Items</t>
        </is>
      </c>
      <c r="E163" s="23" t="n">
        <v>801000</v>
      </c>
      <c r="F163" s="23" t="n">
        <v>495708.34</v>
      </c>
      <c r="G163" s="23" t="n">
        <v>305291.66</v>
      </c>
      <c r="H163" s="31" t="n">
        <v>0.6189</v>
      </c>
      <c r="I163" s="22" t="inlineStr">
        <is>
          <t>Within</t>
        </is>
      </c>
    </row>
    <row r="164">
      <c r="A164" s="22" t="inlineStr">
        <is>
          <t>PRJ-010</t>
        </is>
      </c>
      <c r="B164" s="22" t="inlineStr">
        <is>
          <t>Thalassaemia Support Programme - Gadap</t>
        </is>
      </c>
      <c r="C164" s="22" t="inlineStr">
        <is>
          <t>FY2025-26</t>
        </is>
      </c>
      <c r="D164" s="22" t="inlineStr">
        <is>
          <t>Laboratory</t>
        </is>
      </c>
      <c r="E164" s="23" t="n">
        <v>784000</v>
      </c>
      <c r="F164" s="23" t="n">
        <v>1514183.28</v>
      </c>
      <c r="G164" s="23" t="n">
        <v>-730183.28</v>
      </c>
      <c r="H164" s="31" t="n">
        <v>1.9314</v>
      </c>
      <c r="I164" s="22" t="inlineStr">
        <is>
          <t>Over budget</t>
        </is>
      </c>
    </row>
    <row r="165">
      <c r="A165" s="22" t="inlineStr">
        <is>
          <t>PRJ-010</t>
        </is>
      </c>
      <c r="B165" s="22" t="inlineStr">
        <is>
          <t>Thalassaemia Support Programme - Gadap</t>
        </is>
      </c>
      <c r="C165" s="22" t="inlineStr">
        <is>
          <t>FY2025-26</t>
        </is>
      </c>
      <c r="D165" s="22" t="inlineStr">
        <is>
          <t>Medical Consumables</t>
        </is>
      </c>
      <c r="E165" s="23" t="n">
        <v>2039000</v>
      </c>
      <c r="F165" s="23" t="n">
        <v>2757404</v>
      </c>
      <c r="G165" s="23" t="n">
        <v>-718404</v>
      </c>
      <c r="H165" s="31" t="n">
        <v>1.3523</v>
      </c>
      <c r="I165" s="22" t="inlineStr">
        <is>
          <t>Over budget</t>
        </is>
      </c>
    </row>
    <row r="166">
      <c r="A166" s="22" t="inlineStr">
        <is>
          <t>PRJ-010</t>
        </is>
      </c>
      <c r="B166" s="22" t="inlineStr">
        <is>
          <t>Thalassaemia Support Programme - Gadap</t>
        </is>
      </c>
      <c r="C166" s="22" t="inlineStr">
        <is>
          <t>FY2025-26</t>
        </is>
      </c>
      <c r="D166" s="22" t="inlineStr">
        <is>
          <t>Medicines</t>
        </is>
      </c>
      <c r="E166" s="23" t="n">
        <v>4642000</v>
      </c>
      <c r="F166" s="23" t="n">
        <v>5297250.68</v>
      </c>
      <c r="G166" s="23" t="n">
        <v>-655250.6800000001</v>
      </c>
      <c r="H166" s="31" t="n">
        <v>1.1412</v>
      </c>
      <c r="I166" s="22" t="inlineStr">
        <is>
          <t>Over budget</t>
        </is>
      </c>
    </row>
    <row r="167">
      <c r="A167" s="22" t="inlineStr">
        <is>
          <t>PRJ-010</t>
        </is>
      </c>
      <c r="B167" s="22" t="inlineStr">
        <is>
          <t>Thalassaemia Support Programme - Gadap</t>
        </is>
      </c>
      <c r="C167" s="22" t="inlineStr">
        <is>
          <t>FY2025-26</t>
        </is>
      </c>
      <c r="D167" s="22" t="inlineStr">
        <is>
          <t>Nutrition</t>
        </is>
      </c>
      <c r="E167" s="23" t="n">
        <v>2215000</v>
      </c>
      <c r="F167" s="23" t="n">
        <v>837736.38</v>
      </c>
      <c r="G167" s="23" t="n">
        <v>1377263.62</v>
      </c>
      <c r="H167" s="31" t="n">
        <v>0.3782</v>
      </c>
      <c r="I167" s="22" t="inlineStr">
        <is>
          <t>Within</t>
        </is>
      </c>
    </row>
    <row r="168">
      <c r="A168" s="22" t="inlineStr">
        <is>
          <t>PRJ-010</t>
        </is>
      </c>
      <c r="B168" s="22" t="inlineStr">
        <is>
          <t>Thalassaemia Support Programme - Gadap</t>
        </is>
      </c>
      <c r="C168" s="22" t="inlineStr">
        <is>
          <t>FY2026-27</t>
        </is>
      </c>
      <c r="D168" s="22" t="inlineStr">
        <is>
          <t>Equipment</t>
        </is>
      </c>
      <c r="E168" s="23" t="n">
        <v>540000</v>
      </c>
      <c r="F168" s="23" t="n">
        <v>0</v>
      </c>
      <c r="G168" s="23" t="n">
        <v>540000</v>
      </c>
      <c r="H168" s="31" t="n">
        <v>0</v>
      </c>
      <c r="I168" s="22" t="inlineStr">
        <is>
          <t>Within</t>
        </is>
      </c>
    </row>
    <row r="169">
      <c r="A169" s="22" t="inlineStr">
        <is>
          <t>PRJ-010</t>
        </is>
      </c>
      <c r="B169" s="22" t="inlineStr">
        <is>
          <t>Thalassaemia Support Programme - Gadap</t>
        </is>
      </c>
      <c r="C169" s="22" t="inlineStr">
        <is>
          <t>FY2026-27</t>
        </is>
      </c>
      <c r="D169" s="22" t="inlineStr">
        <is>
          <t>General Items</t>
        </is>
      </c>
      <c r="E169" s="23" t="n">
        <v>412000</v>
      </c>
      <c r="F169" s="23" t="n">
        <v>97443.50999999999</v>
      </c>
      <c r="G169" s="23" t="n">
        <v>314556.49</v>
      </c>
      <c r="H169" s="31" t="n">
        <v>0.2365</v>
      </c>
      <c r="I169" s="22" t="inlineStr">
        <is>
          <t>Within</t>
        </is>
      </c>
    </row>
    <row r="170">
      <c r="A170" s="22" t="inlineStr">
        <is>
          <t>PRJ-010</t>
        </is>
      </c>
      <c r="B170" s="22" t="inlineStr">
        <is>
          <t>Thalassaemia Support Programme - Gadap</t>
        </is>
      </c>
      <c r="C170" s="22" t="inlineStr">
        <is>
          <t>FY2026-27</t>
        </is>
      </c>
      <c r="D170" s="22" t="inlineStr">
        <is>
          <t>Laboratory</t>
        </is>
      </c>
      <c r="E170" s="23" t="n">
        <v>472000</v>
      </c>
      <c r="F170" s="23" t="n">
        <v>350419.3</v>
      </c>
      <c r="G170" s="23" t="n">
        <v>121580.7</v>
      </c>
      <c r="H170" s="31" t="n">
        <v>0.7423999999999999</v>
      </c>
      <c r="I170" s="22" t="inlineStr">
        <is>
          <t>Within</t>
        </is>
      </c>
    </row>
    <row r="171">
      <c r="A171" s="22" t="inlineStr">
        <is>
          <t>PRJ-010</t>
        </is>
      </c>
      <c r="B171" s="22" t="inlineStr">
        <is>
          <t>Thalassaemia Support Programme - Gadap</t>
        </is>
      </c>
      <c r="C171" s="22" t="inlineStr">
        <is>
          <t>FY2026-27</t>
        </is>
      </c>
      <c r="D171" s="22" t="inlineStr">
        <is>
          <t>Medical Consumables</t>
        </is>
      </c>
      <c r="E171" s="23" t="n">
        <v>1160000</v>
      </c>
      <c r="F171" s="23" t="n">
        <v>794237.49</v>
      </c>
      <c r="G171" s="23" t="n">
        <v>365762.51</v>
      </c>
      <c r="H171" s="31" t="n">
        <v>0.6847</v>
      </c>
      <c r="I171" s="22" t="inlineStr">
        <is>
          <t>Within</t>
        </is>
      </c>
    </row>
    <row r="172">
      <c r="A172" s="22" t="inlineStr">
        <is>
          <t>PRJ-010</t>
        </is>
      </c>
      <c r="B172" s="22" t="inlineStr">
        <is>
          <t>Thalassaemia Support Programme - Gadap</t>
        </is>
      </c>
      <c r="C172" s="22" t="inlineStr">
        <is>
          <t>FY2026-27</t>
        </is>
      </c>
      <c r="D172" s="22" t="inlineStr">
        <is>
          <t>Medicines</t>
        </is>
      </c>
      <c r="E172" s="23" t="n">
        <v>2346000</v>
      </c>
      <c r="F172" s="23" t="n">
        <v>1665919.39</v>
      </c>
      <c r="G172" s="23" t="n">
        <v>680080.61</v>
      </c>
      <c r="H172" s="31" t="n">
        <v>0.7101</v>
      </c>
      <c r="I172" s="22" t="inlineStr">
        <is>
          <t>Within</t>
        </is>
      </c>
    </row>
    <row r="173">
      <c r="A173" s="22" t="inlineStr">
        <is>
          <t>PRJ-010</t>
        </is>
      </c>
      <c r="B173" s="22" t="inlineStr">
        <is>
          <t>Thalassaemia Support Programme - Gadap</t>
        </is>
      </c>
      <c r="C173" s="22" t="inlineStr">
        <is>
          <t>FY2026-27</t>
        </is>
      </c>
      <c r="D173" s="22" t="inlineStr">
        <is>
          <t>Nutrition</t>
        </is>
      </c>
      <c r="E173" s="23" t="n">
        <v>1157000</v>
      </c>
      <c r="F173" s="23" t="n">
        <v>221156.88</v>
      </c>
      <c r="G173" s="23" t="n">
        <v>935843.12</v>
      </c>
      <c r="H173" s="31" t="n">
        <v>0.1911</v>
      </c>
      <c r="I173" s="22" t="inlineStr">
        <is>
          <t>Within</t>
        </is>
      </c>
    </row>
    <row r="174">
      <c r="A174" s="26" t="inlineStr"/>
      <c r="B174" s="26" t="inlineStr">
        <is>
          <t>TOTAL</t>
        </is>
      </c>
      <c r="C174" s="26" t="inlineStr"/>
      <c r="D174" s="26" t="inlineStr"/>
      <c r="E174" s="27" t="n">
        <v>337141000</v>
      </c>
      <c r="F174" s="27" t="n">
        <v>254402819.92</v>
      </c>
      <c r="G174" s="27" t="n">
        <v>82738180.08</v>
      </c>
      <c r="H174" s="32" t="n">
        <v>0.7546</v>
      </c>
      <c r="I174" s="26" t="inlineStr"/>
    </row>
  </sheetData>
  <mergeCells count="1">
    <mergeCell ref="A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45756"/>
    <outlinePr summaryBelow="1" summaryRight="1"/>
    <pageSetUpPr/>
  </sheetPr>
  <dimension ref="A1:J87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</cols>
  <sheetData>
    <row r="1">
      <c r="A1" s="1" t="inlineStr">
        <is>
          <t>Unit Price Movement and Variance</t>
        </is>
      </c>
    </row>
    <row r="2">
      <c r="A2" s="2" t="inlineStr">
        <is>
          <t>Purchase prices exclude zero-value (donated) lines. Variance compares the latest purchase price with the item's standard cost and with its first purchase in the window.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Standard cost</t>
        </is>
      </c>
      <c r="E5" s="11" t="inlineStr">
        <is>
          <t>First price</t>
        </is>
      </c>
      <c r="F5" s="11" t="inlineStr">
        <is>
          <t>Latest price</t>
        </is>
      </c>
      <c r="G5" s="11" t="inlineStr">
        <is>
          <t>Average price</t>
        </is>
      </c>
      <c r="H5" s="11" t="inlineStr">
        <is>
          <t>Change vs first</t>
        </is>
      </c>
      <c r="I5" s="11" t="inlineStr">
        <is>
          <t>Change vs standard</t>
        </is>
      </c>
      <c r="J5" s="11" t="inlineStr">
        <is>
          <t>Qty purchased</t>
        </is>
      </c>
    </row>
    <row r="6">
      <c r="A6" s="22" t="inlineStr">
        <is>
          <t>MED-0015</t>
        </is>
      </c>
      <c r="B6" s="22" t="inlineStr">
        <is>
          <t>Magnesium Sulphate 50% 10 ml</t>
        </is>
      </c>
      <c r="C6" s="22" t="inlineStr">
        <is>
          <t>Medicines</t>
        </is>
      </c>
      <c r="D6" s="25" t="n">
        <v>41</v>
      </c>
      <c r="E6" s="25" t="n">
        <v>44.27</v>
      </c>
      <c r="F6" s="25" t="n">
        <v>51.67</v>
      </c>
      <c r="G6" s="25" t="n">
        <v>45.65</v>
      </c>
      <c r="H6" s="31" t="n">
        <v>0.1672</v>
      </c>
      <c r="I6" s="31" t="n">
        <v>0.2602</v>
      </c>
      <c r="J6" s="23" t="n">
        <v>6090</v>
      </c>
    </row>
    <row r="7">
      <c r="A7" s="22" t="inlineStr">
        <is>
          <t>MED-0020</t>
        </is>
      </c>
      <c r="B7" s="22" t="inlineStr">
        <is>
          <t>Isoniazid 300 mg Tablet</t>
        </is>
      </c>
      <c r="C7" s="22" t="inlineStr">
        <is>
          <t>Medicines</t>
        </is>
      </c>
      <c r="D7" s="25" t="n">
        <v>3.9</v>
      </c>
      <c r="E7" s="25" t="n">
        <v>3.74</v>
      </c>
      <c r="F7" s="25" t="n">
        <v>4.49</v>
      </c>
      <c r="G7" s="25" t="n">
        <v>4.3</v>
      </c>
      <c r="H7" s="31" t="n">
        <v>0.2005</v>
      </c>
      <c r="I7" s="31" t="n">
        <v>0.1513</v>
      </c>
      <c r="J7" s="23" t="n">
        <v>211000</v>
      </c>
    </row>
    <row r="8">
      <c r="A8" s="22" t="inlineStr">
        <is>
          <t>MED-0014</t>
        </is>
      </c>
      <c r="B8" s="22" t="inlineStr">
        <is>
          <t>Oxytocin 10 IU Injection</t>
        </is>
      </c>
      <c r="C8" s="22" t="inlineStr">
        <is>
          <t>Medicines</t>
        </is>
      </c>
      <c r="D8" s="25" t="n">
        <v>34.5</v>
      </c>
      <c r="E8" s="25" t="n">
        <v>36.15</v>
      </c>
      <c r="F8" s="25" t="n">
        <v>44.27</v>
      </c>
      <c r="G8" s="25" t="n">
        <v>38.41</v>
      </c>
      <c r="H8" s="31" t="n">
        <v>0.2246</v>
      </c>
      <c r="I8" s="31" t="n">
        <v>0.2832</v>
      </c>
      <c r="J8" s="23" t="n">
        <v>12460</v>
      </c>
    </row>
    <row r="9">
      <c r="A9" s="22" t="inlineStr">
        <is>
          <t>MED-0033</t>
        </is>
      </c>
      <c r="B9" s="22" t="inlineStr">
        <is>
          <t>Calcium Carbonate + Vitamin D3</t>
        </is>
      </c>
      <c r="C9" s="22" t="inlineStr">
        <is>
          <t>Medicines</t>
        </is>
      </c>
      <c r="D9" s="25" t="n">
        <v>6.2</v>
      </c>
      <c r="E9" s="25" t="n">
        <v>5.91</v>
      </c>
      <c r="F9" s="25" t="n">
        <v>7.58</v>
      </c>
      <c r="G9" s="25" t="n">
        <v>6.89</v>
      </c>
      <c r="H9" s="31" t="n">
        <v>0.2826</v>
      </c>
      <c r="I9" s="31" t="n">
        <v>0.2226</v>
      </c>
      <c r="J9" s="23" t="n">
        <v>119000</v>
      </c>
    </row>
    <row r="10">
      <c r="A10" s="22" t="inlineStr">
        <is>
          <t>MED-0009</t>
        </is>
      </c>
      <c r="B10" s="22" t="inlineStr">
        <is>
          <t>Normal Saline 0.9% 500 ml</t>
        </is>
      </c>
      <c r="C10" s="22" t="inlineStr">
        <is>
          <t>Medicines</t>
        </is>
      </c>
      <c r="D10" s="25" t="n">
        <v>118</v>
      </c>
      <c r="E10" s="25" t="n">
        <v>126.3</v>
      </c>
      <c r="F10" s="25" t="n">
        <v>133.99</v>
      </c>
      <c r="G10" s="25" t="n">
        <v>129.81</v>
      </c>
      <c r="H10" s="31" t="n">
        <v>0.0609</v>
      </c>
      <c r="I10" s="31" t="n">
        <v>0.1355</v>
      </c>
      <c r="J10" s="23" t="n">
        <v>41600</v>
      </c>
    </row>
    <row r="11">
      <c r="A11" s="22" t="inlineStr">
        <is>
          <t>MED-0005</t>
        </is>
      </c>
      <c r="B11" s="22" t="inlineStr">
        <is>
          <t>Metronidazole 400 mg Tablet</t>
        </is>
      </c>
      <c r="C11" s="22" t="inlineStr">
        <is>
          <t>Medicines</t>
        </is>
      </c>
      <c r="D11" s="25" t="n">
        <v>2.1</v>
      </c>
      <c r="E11" s="25" t="n">
        <v>1.99</v>
      </c>
      <c r="F11" s="25" t="n">
        <v>2.41</v>
      </c>
      <c r="G11" s="25" t="n">
        <v>2.31</v>
      </c>
      <c r="H11" s="31" t="n">
        <v>0.2111</v>
      </c>
      <c r="I11" s="31" t="n">
        <v>0.1476</v>
      </c>
      <c r="J11" s="23" t="n">
        <v>286000</v>
      </c>
    </row>
    <row r="12">
      <c r="A12" s="22" t="inlineStr">
        <is>
          <t>MED-0008</t>
        </is>
      </c>
      <c r="B12" s="22" t="inlineStr">
        <is>
          <t>Ibuprofen 400 mg Tablet</t>
        </is>
      </c>
      <c r="C12" s="22" t="inlineStr">
        <is>
          <t>Medicines</t>
        </is>
      </c>
      <c r="D12" s="25" t="n">
        <v>2.4</v>
      </c>
      <c r="E12" s="25" t="n">
        <v>2.56</v>
      </c>
      <c r="F12" s="25" t="n">
        <v>2.75</v>
      </c>
      <c r="G12" s="25" t="n">
        <v>2.66</v>
      </c>
      <c r="H12" s="31" t="n">
        <v>0.0742</v>
      </c>
      <c r="I12" s="31" t="n">
        <v>0.1458</v>
      </c>
      <c r="J12" s="23" t="n">
        <v>350000</v>
      </c>
    </row>
    <row r="13">
      <c r="A13" s="22" t="inlineStr">
        <is>
          <t>MED-0019</t>
        </is>
      </c>
      <c r="B13" s="22" t="inlineStr">
        <is>
          <t>Rifampicin + Isoniazid 150/75 mg</t>
        </is>
      </c>
      <c r="C13" s="22" t="inlineStr">
        <is>
          <t>Medicines</t>
        </is>
      </c>
      <c r="D13" s="25" t="n">
        <v>18.6</v>
      </c>
      <c r="E13" s="25" t="n">
        <v>19.74</v>
      </c>
      <c r="F13" s="25" t="n">
        <v>21.34</v>
      </c>
      <c r="G13" s="25" t="n">
        <v>20.63</v>
      </c>
      <c r="H13" s="31" t="n">
        <v>0.08110000000000001</v>
      </c>
      <c r="I13" s="31" t="n">
        <v>0.1473</v>
      </c>
      <c r="J13" s="23" t="n">
        <v>137088</v>
      </c>
    </row>
    <row r="14">
      <c r="A14" s="22" t="inlineStr">
        <is>
          <t>MED-0012</t>
        </is>
      </c>
      <c r="B14" s="22" t="inlineStr">
        <is>
          <t>Tetanus Toxoid Vaccine 0.5 ml</t>
        </is>
      </c>
      <c r="C14" s="22" t="inlineStr">
        <is>
          <t>Medicines</t>
        </is>
      </c>
      <c r="D14" s="25" t="n">
        <v>96</v>
      </c>
      <c r="E14" s="25" t="n">
        <v>94.70999999999999</v>
      </c>
      <c r="F14" s="25" t="n">
        <v>110.48</v>
      </c>
      <c r="G14" s="25" t="n">
        <v>106.28</v>
      </c>
      <c r="H14" s="31" t="n">
        <v>0.1665</v>
      </c>
      <c r="I14" s="31" t="n">
        <v>0.1508</v>
      </c>
      <c r="J14" s="23" t="n">
        <v>37390</v>
      </c>
    </row>
    <row r="15">
      <c r="A15" s="22" t="inlineStr">
        <is>
          <t>CON-0019</t>
        </is>
      </c>
      <c r="B15" s="22" t="inlineStr">
        <is>
          <t>Hand Sanitiser 500 ml</t>
        </is>
      </c>
      <c r="C15" s="22" t="inlineStr">
        <is>
          <t>Medical Consumables</t>
        </is>
      </c>
      <c r="D15" s="25" t="n">
        <v>385</v>
      </c>
      <c r="E15" s="25" t="n">
        <v>366.92</v>
      </c>
      <c r="F15" s="25" t="n">
        <v>462.44</v>
      </c>
      <c r="G15" s="25" t="n">
        <v>428.81</v>
      </c>
      <c r="H15" s="31" t="n">
        <v>0.2603</v>
      </c>
      <c r="I15" s="31" t="n">
        <v>0.2011</v>
      </c>
      <c r="J15" s="23" t="n">
        <v>10764</v>
      </c>
    </row>
    <row r="16">
      <c r="A16" s="22" t="inlineStr">
        <is>
          <t>MED-0002</t>
        </is>
      </c>
      <c r="B16" s="22" t="inlineStr">
        <is>
          <t>Amoxicillin 250 mg Capsule</t>
        </is>
      </c>
      <c r="C16" s="22" t="inlineStr">
        <is>
          <t>Medicines</t>
        </is>
      </c>
      <c r="D16" s="25" t="n">
        <v>4.2</v>
      </c>
      <c r="E16" s="25" t="n">
        <v>4.2</v>
      </c>
      <c r="F16" s="25" t="n">
        <v>4.84</v>
      </c>
      <c r="G16" s="25" t="n">
        <v>4.67</v>
      </c>
      <c r="H16" s="31" t="n">
        <v>0.1524</v>
      </c>
      <c r="I16" s="31" t="n">
        <v>0.1524</v>
      </c>
      <c r="J16" s="23" t="n">
        <v>450000</v>
      </c>
    </row>
    <row r="17">
      <c r="A17" s="22" t="inlineStr">
        <is>
          <t>MED-0024</t>
        </is>
      </c>
      <c r="B17" s="22" t="inlineStr">
        <is>
          <t>Artemether + Lumefantrine 20/120 mg</t>
        </is>
      </c>
      <c r="C17" s="22" t="inlineStr">
        <is>
          <t>Medicines</t>
        </is>
      </c>
      <c r="D17" s="25" t="n">
        <v>118</v>
      </c>
      <c r="E17" s="25" t="n">
        <v>122.24</v>
      </c>
      <c r="F17" s="25" t="n">
        <v>147.1</v>
      </c>
      <c r="G17" s="25" t="n">
        <v>131.48</v>
      </c>
      <c r="H17" s="31" t="n">
        <v>0.2034</v>
      </c>
      <c r="I17" s="31" t="n">
        <v>0.2466</v>
      </c>
      <c r="J17" s="23" t="n">
        <v>23040</v>
      </c>
    </row>
    <row r="18">
      <c r="A18" s="22" t="inlineStr">
        <is>
          <t>MED-0028</t>
        </is>
      </c>
      <c r="B18" s="22" t="inlineStr">
        <is>
          <t>Atropine 0.6 mg/ml Injection</t>
        </is>
      </c>
      <c r="C18" s="22" t="inlineStr">
        <is>
          <t>Medicines</t>
        </is>
      </c>
      <c r="D18" s="25" t="n">
        <v>39</v>
      </c>
      <c r="E18" s="25" t="n">
        <v>40.84</v>
      </c>
      <c r="F18" s="25" t="n">
        <v>46.57</v>
      </c>
      <c r="G18" s="25" t="n">
        <v>43.28</v>
      </c>
      <c r="H18" s="31" t="n">
        <v>0.1403</v>
      </c>
      <c r="I18" s="31" t="n">
        <v>0.1941</v>
      </c>
      <c r="J18" s="23" t="n">
        <v>4750</v>
      </c>
    </row>
    <row r="19">
      <c r="A19" s="22" t="inlineStr">
        <is>
          <t>MED-0006</t>
        </is>
      </c>
      <c r="B19" s="22" t="inlineStr">
        <is>
          <t>Ciprofloxacin 500 mg Tablet</t>
        </is>
      </c>
      <c r="C19" s="22" t="inlineStr">
        <is>
          <t>Medicines</t>
        </is>
      </c>
      <c r="D19" s="25" t="n">
        <v>6.8</v>
      </c>
      <c r="E19" s="25" t="n">
        <v>6.38</v>
      </c>
      <c r="F19" s="25" t="n">
        <v>8.66</v>
      </c>
      <c r="G19" s="25" t="n">
        <v>7.53</v>
      </c>
      <c r="H19" s="31" t="n">
        <v>0.3574</v>
      </c>
      <c r="I19" s="31" t="n">
        <v>0.2735</v>
      </c>
      <c r="J19" s="23" t="n">
        <v>56600</v>
      </c>
    </row>
    <row r="20">
      <c r="A20" s="22" t="inlineStr">
        <is>
          <t>MED-0003</t>
        </is>
      </c>
      <c r="B20" s="22" t="inlineStr">
        <is>
          <t>Amoxicillin + Clavulanic Acid 625 mg</t>
        </is>
      </c>
      <c r="C20" s="22" t="inlineStr">
        <is>
          <t>Medicines</t>
        </is>
      </c>
      <c r="D20" s="25" t="n">
        <v>38.5</v>
      </c>
      <c r="E20" s="25" t="n">
        <v>36.82</v>
      </c>
      <c r="F20" s="25" t="n">
        <v>46.41</v>
      </c>
      <c r="G20" s="25" t="n">
        <v>42.67</v>
      </c>
      <c r="H20" s="31" t="n">
        <v>0.2605</v>
      </c>
      <c r="I20" s="31" t="n">
        <v>0.2055</v>
      </c>
      <c r="J20" s="23" t="n">
        <v>29300</v>
      </c>
    </row>
    <row r="21">
      <c r="A21" s="22" t="inlineStr">
        <is>
          <t>MED-0018</t>
        </is>
      </c>
      <c r="B21" s="22" t="inlineStr">
        <is>
          <t>Vitamin A 200,000 IU Capsule</t>
        </is>
      </c>
      <c r="C21" s="22" t="inlineStr">
        <is>
          <t>Medicines</t>
        </is>
      </c>
      <c r="D21" s="25" t="n">
        <v>12.4</v>
      </c>
      <c r="E21" s="25" t="n">
        <v>12.13</v>
      </c>
      <c r="F21" s="25" t="n">
        <v>14.16</v>
      </c>
      <c r="G21" s="25" t="n">
        <v>13.77</v>
      </c>
      <c r="H21" s="31" t="n">
        <v>0.1674</v>
      </c>
      <c r="I21" s="31" t="n">
        <v>0.1419</v>
      </c>
      <c r="J21" s="23" t="n">
        <v>75400</v>
      </c>
    </row>
    <row r="22">
      <c r="A22" s="22" t="inlineStr">
        <is>
          <t>MED-0025</t>
        </is>
      </c>
      <c r="B22" s="22" t="inlineStr">
        <is>
          <t>Salbutamol Inhaler 100 mcg</t>
        </is>
      </c>
      <c r="C22" s="22" t="inlineStr">
        <is>
          <t>Medicines</t>
        </is>
      </c>
      <c r="D22" s="25" t="n">
        <v>268</v>
      </c>
      <c r="E22" s="25" t="n">
        <v>266.96</v>
      </c>
      <c r="F22" s="25" t="n">
        <v>314.7</v>
      </c>
      <c r="G22" s="25" t="n">
        <v>298.72</v>
      </c>
      <c r="H22" s="31" t="n">
        <v>0.1788</v>
      </c>
      <c r="I22" s="31" t="n">
        <v>0.1743</v>
      </c>
      <c r="J22" s="23" t="n">
        <v>16590</v>
      </c>
    </row>
    <row r="23">
      <c r="A23" s="22" t="inlineStr">
        <is>
          <t>CON-0020</t>
        </is>
      </c>
      <c r="B23" s="22" t="inlineStr">
        <is>
          <t>Sputum Collection Container</t>
        </is>
      </c>
      <c r="C23" s="22" t="inlineStr">
        <is>
          <t>Medical Consumables</t>
        </is>
      </c>
      <c r="D23" s="25" t="n">
        <v>26</v>
      </c>
      <c r="E23" s="25" t="n">
        <v>27.06</v>
      </c>
      <c r="F23" s="25" t="n">
        <v>32.15</v>
      </c>
      <c r="G23" s="25" t="n">
        <v>28.91</v>
      </c>
      <c r="H23" s="31" t="n">
        <v>0.1881</v>
      </c>
      <c r="I23" s="31" t="n">
        <v>0.2365</v>
      </c>
      <c r="J23" s="23" t="n">
        <v>82700</v>
      </c>
    </row>
    <row r="24">
      <c r="A24" s="22" t="inlineStr">
        <is>
          <t>MED-0011</t>
        </is>
      </c>
      <c r="B24" s="22" t="inlineStr">
        <is>
          <t>Dextrose 5% 500 ml</t>
        </is>
      </c>
      <c r="C24" s="22" t="inlineStr">
        <is>
          <t>Medicines</t>
        </is>
      </c>
      <c r="D24" s="25" t="n">
        <v>124</v>
      </c>
      <c r="E24" s="25" t="n">
        <v>116.71</v>
      </c>
      <c r="F24" s="25" t="n">
        <v>157.21</v>
      </c>
      <c r="G24" s="25" t="n">
        <v>136.61</v>
      </c>
      <c r="H24" s="31" t="n">
        <v>0.347</v>
      </c>
      <c r="I24" s="31" t="n">
        <v>0.2678</v>
      </c>
      <c r="J24" s="23" t="n">
        <v>26860</v>
      </c>
    </row>
    <row r="25">
      <c r="A25" s="22" t="inlineStr">
        <is>
          <t>MED-0021</t>
        </is>
      </c>
      <c r="B25" s="22" t="inlineStr">
        <is>
          <t>Ethambutol 400 mg Tablet</t>
        </is>
      </c>
      <c r="C25" s="22" t="inlineStr">
        <is>
          <t>Medicines</t>
        </is>
      </c>
      <c r="D25" s="25" t="n">
        <v>7.4</v>
      </c>
      <c r="E25" s="25" t="n">
        <v>7.9</v>
      </c>
      <c r="F25" s="25" t="n">
        <v>9.279999999999999</v>
      </c>
      <c r="G25" s="25" t="n">
        <v>8.27</v>
      </c>
      <c r="H25" s="31" t="n">
        <v>0.1747</v>
      </c>
      <c r="I25" s="31" t="n">
        <v>0.2541</v>
      </c>
      <c r="J25" s="23" t="n">
        <v>99000</v>
      </c>
    </row>
    <row r="26">
      <c r="A26" s="22" t="inlineStr">
        <is>
          <t>CON-0014</t>
        </is>
      </c>
      <c r="B26" s="22" t="inlineStr">
        <is>
          <t>Urine Collection Bag 2000 ml</t>
        </is>
      </c>
      <c r="C26" s="22" t="inlineStr">
        <is>
          <t>Medical Consumables</t>
        </is>
      </c>
      <c r="D26" s="25" t="n">
        <v>78</v>
      </c>
      <c r="E26" s="25" t="n">
        <v>73.55</v>
      </c>
      <c r="F26" s="25" t="n">
        <v>97.43000000000001</v>
      </c>
      <c r="G26" s="25" t="n">
        <v>86.56</v>
      </c>
      <c r="H26" s="31" t="n">
        <v>0.3247</v>
      </c>
      <c r="I26" s="31" t="n">
        <v>0.2491</v>
      </c>
      <c r="J26" s="23" t="n">
        <v>16625</v>
      </c>
    </row>
    <row r="27">
      <c r="A27" s="22" t="inlineStr">
        <is>
          <t>MED-0004</t>
        </is>
      </c>
      <c r="B27" s="22" t="inlineStr">
        <is>
          <t>Ceftriaxone 1 g Injection</t>
        </is>
      </c>
      <c r="C27" s="22" t="inlineStr">
        <is>
          <t>Medicines</t>
        </is>
      </c>
      <c r="D27" s="25" t="n">
        <v>96</v>
      </c>
      <c r="E27" s="25" t="n">
        <v>103.35</v>
      </c>
      <c r="F27" s="25" t="n">
        <v>118.2</v>
      </c>
      <c r="G27" s="25" t="n">
        <v>106.47</v>
      </c>
      <c r="H27" s="31" t="n">
        <v>0.1437</v>
      </c>
      <c r="I27" s="31" t="n">
        <v>0.2312</v>
      </c>
      <c r="J27" s="23" t="n">
        <v>46032</v>
      </c>
    </row>
    <row r="28">
      <c r="A28" s="22" t="inlineStr">
        <is>
          <t>MED-0013</t>
        </is>
      </c>
      <c r="B28" s="22" t="inlineStr">
        <is>
          <t>Misoprostol 200 mcg Tablet</t>
        </is>
      </c>
      <c r="C28" s="22" t="inlineStr">
        <is>
          <t>Medicines</t>
        </is>
      </c>
      <c r="D28" s="25" t="n">
        <v>26</v>
      </c>
      <c r="E28" s="25" t="n">
        <v>24.67</v>
      </c>
      <c r="F28" s="25" t="n">
        <v>29.39</v>
      </c>
      <c r="G28" s="25" t="n">
        <v>28.76</v>
      </c>
      <c r="H28" s="31" t="n">
        <v>0.1913</v>
      </c>
      <c r="I28" s="31" t="n">
        <v>0.1304</v>
      </c>
      <c r="J28" s="23" t="n">
        <v>12660</v>
      </c>
    </row>
    <row r="29">
      <c r="A29" s="22" t="inlineStr">
        <is>
          <t>MED-0034</t>
        </is>
      </c>
      <c r="B29" s="22" t="inlineStr">
        <is>
          <t>Tenofovir + Emtricitabine 300/200 mg</t>
        </is>
      </c>
      <c r="C29" s="22" t="inlineStr">
        <is>
          <t>Medicines</t>
        </is>
      </c>
      <c r="D29" s="25" t="n">
        <v>890</v>
      </c>
      <c r="E29" s="25" t="n">
        <v>912.83</v>
      </c>
      <c r="F29" s="25" t="n">
        <v>1013.16</v>
      </c>
      <c r="G29" s="25" t="n">
        <v>978.39</v>
      </c>
      <c r="H29" s="31" t="n">
        <v>0.1099</v>
      </c>
      <c r="I29" s="31" t="n">
        <v>0.1384</v>
      </c>
      <c r="J29" s="23" t="n">
        <v>7650</v>
      </c>
    </row>
    <row r="30">
      <c r="A30" s="22" t="inlineStr">
        <is>
          <t>CON-0015</t>
        </is>
      </c>
      <c r="B30" s="22" t="inlineStr">
        <is>
          <t>Disposable Delivery Kit</t>
        </is>
      </c>
      <c r="C30" s="22" t="inlineStr">
        <is>
          <t>Medical Consumables</t>
        </is>
      </c>
      <c r="D30" s="25" t="n">
        <v>640</v>
      </c>
      <c r="E30" s="25" t="n">
        <v>647.91</v>
      </c>
      <c r="F30" s="25" t="n">
        <v>731.9400000000001</v>
      </c>
      <c r="G30" s="25" t="n">
        <v>714.96</v>
      </c>
      <c r="H30" s="31" t="n">
        <v>0.1297</v>
      </c>
      <c r="I30" s="31" t="n">
        <v>0.1437</v>
      </c>
      <c r="J30" s="23" t="n">
        <v>13816</v>
      </c>
    </row>
    <row r="31">
      <c r="A31" s="22" t="inlineStr">
        <is>
          <t>MED-0023</t>
        </is>
      </c>
      <c r="B31" s="22" t="inlineStr">
        <is>
          <t>Mebendazole 100 mg Tablet</t>
        </is>
      </c>
      <c r="C31" s="22" t="inlineStr">
        <is>
          <t>Medicines</t>
        </is>
      </c>
      <c r="D31" s="25" t="n">
        <v>2.6</v>
      </c>
      <c r="E31" s="25" t="n">
        <v>2.46</v>
      </c>
      <c r="F31" s="25" t="n">
        <v>3.36</v>
      </c>
      <c r="G31" s="25" t="n">
        <v>2.89</v>
      </c>
      <c r="H31" s="31" t="n">
        <v>0.3659</v>
      </c>
      <c r="I31" s="31" t="n">
        <v>0.2923</v>
      </c>
      <c r="J31" s="23" t="n">
        <v>253000</v>
      </c>
    </row>
    <row r="32">
      <c r="A32" s="22" t="inlineStr">
        <is>
          <t>MED-0031</t>
        </is>
      </c>
      <c r="B32" s="22" t="inlineStr">
        <is>
          <t>Deferasirox 500 mg Tablet</t>
        </is>
      </c>
      <c r="C32" s="22" t="inlineStr">
        <is>
          <t>Medicines</t>
        </is>
      </c>
      <c r="D32" s="25" t="n">
        <v>1450</v>
      </c>
      <c r="E32" s="25" t="n">
        <v>1359.17</v>
      </c>
      <c r="F32" s="25" t="n">
        <v>1666.51</v>
      </c>
      <c r="G32" s="25" t="n">
        <v>1600.57</v>
      </c>
      <c r="H32" s="31" t="n">
        <v>0.2261</v>
      </c>
      <c r="I32" s="31" t="n">
        <v>0.1493</v>
      </c>
      <c r="J32" s="23" t="n">
        <v>13920</v>
      </c>
    </row>
    <row r="33">
      <c r="A33" s="22" t="inlineStr">
        <is>
          <t>MED-0001</t>
        </is>
      </c>
      <c r="B33" s="22" t="inlineStr">
        <is>
          <t>Paracetamol 500 mg Tablet</t>
        </is>
      </c>
      <c r="C33" s="22" t="inlineStr">
        <is>
          <t>Medicines</t>
        </is>
      </c>
      <c r="D33" s="25" t="n">
        <v>1.15</v>
      </c>
      <c r="E33" s="25" t="n">
        <v>1.13</v>
      </c>
      <c r="F33" s="25" t="n">
        <v>1.34</v>
      </c>
      <c r="G33" s="25" t="n">
        <v>1.27</v>
      </c>
      <c r="H33" s="31" t="n">
        <v>0.1858</v>
      </c>
      <c r="I33" s="31" t="n">
        <v>0.1652</v>
      </c>
      <c r="J33" s="23" t="n">
        <v>964000</v>
      </c>
    </row>
    <row r="34">
      <c r="A34" s="22" t="inlineStr">
        <is>
          <t>MED-0016</t>
        </is>
      </c>
      <c r="B34" s="22" t="inlineStr">
        <is>
          <t>Ferrous Sulphate + Folic Acid Tablet</t>
        </is>
      </c>
      <c r="C34" s="22" t="inlineStr">
        <is>
          <t>Medicines</t>
        </is>
      </c>
      <c r="D34" s="25" t="n">
        <v>1.85</v>
      </c>
      <c r="E34" s="25" t="n">
        <v>1.97</v>
      </c>
      <c r="F34" s="25" t="n">
        <v>2.39</v>
      </c>
      <c r="G34" s="25" t="n">
        <v>2.05</v>
      </c>
      <c r="H34" s="31" t="n">
        <v>0.2132</v>
      </c>
      <c r="I34" s="31" t="n">
        <v>0.2919</v>
      </c>
      <c r="J34" s="23" t="n">
        <v>667000</v>
      </c>
    </row>
    <row r="35">
      <c r="A35" s="22" t="inlineStr">
        <is>
          <t>MED-0017</t>
        </is>
      </c>
      <c r="B35" s="22" t="inlineStr">
        <is>
          <t>Zinc Sulphate 20 mg Dispersible Tablet</t>
        </is>
      </c>
      <c r="C35" s="22" t="inlineStr">
        <is>
          <t>Medicines</t>
        </is>
      </c>
      <c r="D35" s="25" t="n">
        <v>3.1</v>
      </c>
      <c r="E35" s="25" t="n">
        <v>3.14</v>
      </c>
      <c r="F35" s="25" t="n">
        <v>3.54</v>
      </c>
      <c r="G35" s="25" t="n">
        <v>3.44</v>
      </c>
      <c r="H35" s="31" t="n">
        <v>0.1274</v>
      </c>
      <c r="I35" s="31" t="n">
        <v>0.1419</v>
      </c>
      <c r="J35" s="23" t="n">
        <v>306000</v>
      </c>
    </row>
    <row r="36">
      <c r="A36" s="22" t="inlineStr">
        <is>
          <t>MED-0022</t>
        </is>
      </c>
      <c r="B36" s="22" t="inlineStr">
        <is>
          <t>Pyrazinamide 500 mg Tablet</t>
        </is>
      </c>
      <c r="C36" s="22" t="inlineStr">
        <is>
          <t>Medicines</t>
        </is>
      </c>
      <c r="D36" s="25" t="n">
        <v>8.1</v>
      </c>
      <c r="E36" s="25" t="n">
        <v>8.539999999999999</v>
      </c>
      <c r="F36" s="25" t="n">
        <v>9.65</v>
      </c>
      <c r="G36" s="25" t="n">
        <v>8.970000000000001</v>
      </c>
      <c r="H36" s="31" t="n">
        <v>0.13</v>
      </c>
      <c r="I36" s="31" t="n">
        <v>0.1914</v>
      </c>
      <c r="J36" s="23" t="n">
        <v>99000</v>
      </c>
    </row>
    <row r="37">
      <c r="A37" s="22" t="inlineStr">
        <is>
          <t>CON-0007</t>
        </is>
      </c>
      <c r="B37" s="22" t="inlineStr">
        <is>
          <t>Cotton Wool Roll 500 g</t>
        </is>
      </c>
      <c r="C37" s="22" t="inlineStr">
        <is>
          <t>Medical Consumables</t>
        </is>
      </c>
      <c r="D37" s="25" t="n">
        <v>245</v>
      </c>
      <c r="E37" s="25" t="n">
        <v>257.51</v>
      </c>
      <c r="F37" s="25" t="n">
        <v>319.03</v>
      </c>
      <c r="G37" s="25" t="n">
        <v>274.23</v>
      </c>
      <c r="H37" s="31" t="n">
        <v>0.2389</v>
      </c>
      <c r="I37" s="31" t="n">
        <v>0.3022</v>
      </c>
      <c r="J37" s="23" t="n">
        <v>9480</v>
      </c>
    </row>
    <row r="38">
      <c r="A38" s="22" t="inlineStr">
        <is>
          <t>MED-0032</t>
        </is>
      </c>
      <c r="B38" s="22" t="inlineStr">
        <is>
          <t>Folic Acid 5 mg Tablet</t>
        </is>
      </c>
      <c r="C38" s="22" t="inlineStr">
        <is>
          <t>Medicines</t>
        </is>
      </c>
      <c r="D38" s="25" t="n">
        <v>1.05</v>
      </c>
      <c r="E38" s="25" t="n">
        <v>1.08</v>
      </c>
      <c r="F38" s="25" t="n">
        <v>1.34</v>
      </c>
      <c r="G38" s="25" t="n">
        <v>1.17</v>
      </c>
      <c r="H38" s="31" t="n">
        <v>0.2407</v>
      </c>
      <c r="I38" s="31" t="n">
        <v>0.2762</v>
      </c>
      <c r="J38" s="23" t="n">
        <v>539000</v>
      </c>
    </row>
    <row r="39">
      <c r="A39" s="22" t="inlineStr">
        <is>
          <t>CON-0018</t>
        </is>
      </c>
      <c r="B39" s="22" t="inlineStr">
        <is>
          <t>Blood Transfusion Set</t>
        </is>
      </c>
      <c r="C39" s="22" t="inlineStr">
        <is>
          <t>Medical Consumables</t>
        </is>
      </c>
      <c r="D39" s="25" t="n">
        <v>195</v>
      </c>
      <c r="E39" s="25" t="n">
        <v>195.7</v>
      </c>
      <c r="F39" s="25" t="n">
        <v>227.02</v>
      </c>
      <c r="G39" s="25" t="n">
        <v>215.98</v>
      </c>
      <c r="H39" s="31" t="n">
        <v>0.16</v>
      </c>
      <c r="I39" s="31" t="n">
        <v>0.1642</v>
      </c>
      <c r="J39" s="23" t="n">
        <v>5475</v>
      </c>
    </row>
    <row r="40">
      <c r="A40" s="22" t="inlineStr">
        <is>
          <t>MED-0007</t>
        </is>
      </c>
      <c r="B40" s="22" t="inlineStr">
        <is>
          <t>ORS Sachet (Low Osmolarity)</t>
        </is>
      </c>
      <c r="C40" s="22" t="inlineStr">
        <is>
          <t>Medicines</t>
        </is>
      </c>
      <c r="D40" s="25" t="n">
        <v>22.5</v>
      </c>
      <c r="E40" s="25" t="n">
        <v>22.72</v>
      </c>
      <c r="F40" s="25" t="n">
        <v>27.37</v>
      </c>
      <c r="G40" s="25" t="n">
        <v>25.1</v>
      </c>
      <c r="H40" s="31" t="n">
        <v>0.2047</v>
      </c>
      <c r="I40" s="31" t="n">
        <v>0.2164</v>
      </c>
      <c r="J40" s="23" t="n">
        <v>590000</v>
      </c>
    </row>
    <row r="41">
      <c r="A41" s="22" t="inlineStr">
        <is>
          <t>MED-0027</t>
        </is>
      </c>
      <c r="B41" s="22" t="inlineStr">
        <is>
          <t>Adrenaline 1 mg/ml Injection</t>
        </is>
      </c>
      <c r="C41" s="22" t="inlineStr">
        <is>
          <t>Medicines</t>
        </is>
      </c>
      <c r="D41" s="25" t="n">
        <v>68</v>
      </c>
      <c r="E41" s="25" t="n">
        <v>71.47</v>
      </c>
      <c r="F41" s="25" t="n">
        <v>85.48</v>
      </c>
      <c r="G41" s="25" t="n">
        <v>75.26000000000001</v>
      </c>
      <c r="H41" s="31" t="n">
        <v>0.196</v>
      </c>
      <c r="I41" s="31" t="n">
        <v>0.2571</v>
      </c>
      <c r="J41" s="23" t="n">
        <v>5700</v>
      </c>
    </row>
    <row r="42">
      <c r="A42" s="22" t="inlineStr">
        <is>
          <t>MED-0029</t>
        </is>
      </c>
      <c r="B42" s="22" t="inlineStr">
        <is>
          <t>Diclofenac 75 mg Injection</t>
        </is>
      </c>
      <c r="C42" s="22" t="inlineStr">
        <is>
          <t>Medicines</t>
        </is>
      </c>
      <c r="D42" s="25" t="n">
        <v>28.5</v>
      </c>
      <c r="E42" s="25" t="n">
        <v>30.37</v>
      </c>
      <c r="F42" s="25" t="n">
        <v>32.49</v>
      </c>
      <c r="G42" s="25" t="n">
        <v>31.61</v>
      </c>
      <c r="H42" s="31" t="n">
        <v>0.0698</v>
      </c>
      <c r="I42" s="31" t="n">
        <v>0.14</v>
      </c>
      <c r="J42" s="23" t="n">
        <v>26570</v>
      </c>
    </row>
    <row r="43">
      <c r="A43" s="22" t="inlineStr">
        <is>
          <t>MED-0030</t>
        </is>
      </c>
      <c r="B43" s="22" t="inlineStr">
        <is>
          <t>Insulin Regular 100 IU/ml</t>
        </is>
      </c>
      <c r="C43" s="22" t="inlineStr">
        <is>
          <t>Medicines</t>
        </is>
      </c>
      <c r="D43" s="25" t="n">
        <v>540</v>
      </c>
      <c r="E43" s="25" t="n">
        <v>534.36</v>
      </c>
      <c r="F43" s="25" t="n">
        <v>653.36</v>
      </c>
      <c r="G43" s="25" t="n">
        <v>602.59</v>
      </c>
      <c r="H43" s="31" t="n">
        <v>0.2227</v>
      </c>
      <c r="I43" s="31" t="n">
        <v>0.2099</v>
      </c>
      <c r="J43" s="23" t="n">
        <v>9886</v>
      </c>
    </row>
    <row r="44">
      <c r="A44" s="22" t="inlineStr">
        <is>
          <t>CON-0001</t>
        </is>
      </c>
      <c r="B44" s="22" t="inlineStr">
        <is>
          <t>Examination Gloves, Latex (Pair)</t>
        </is>
      </c>
      <c r="C44" s="22" t="inlineStr">
        <is>
          <t>Medical Consumables</t>
        </is>
      </c>
      <c r="D44" s="25" t="n">
        <v>14.5</v>
      </c>
      <c r="E44" s="25" t="n">
        <v>13.86</v>
      </c>
      <c r="F44" s="25" t="n">
        <v>18.53</v>
      </c>
      <c r="G44" s="25" t="n">
        <v>16.12</v>
      </c>
      <c r="H44" s="31" t="n">
        <v>0.3369</v>
      </c>
      <c r="I44" s="31" t="n">
        <v>0.2779</v>
      </c>
      <c r="J44" s="23" t="n">
        <v>682300</v>
      </c>
    </row>
    <row r="45">
      <c r="A45" s="22" t="inlineStr">
        <is>
          <t>CON-0005</t>
        </is>
      </c>
      <c r="B45" s="22" t="inlineStr">
        <is>
          <t>IV Cannula 22G</t>
        </is>
      </c>
      <c r="C45" s="22" t="inlineStr">
        <is>
          <t>Medical Consumables</t>
        </is>
      </c>
      <c r="D45" s="25" t="n">
        <v>46</v>
      </c>
      <c r="E45" s="25" t="n">
        <v>49.59</v>
      </c>
      <c r="F45" s="25" t="n">
        <v>55.4</v>
      </c>
      <c r="G45" s="25" t="n">
        <v>50.94</v>
      </c>
      <c r="H45" s="31" t="n">
        <v>0.1172</v>
      </c>
      <c r="I45" s="31" t="n">
        <v>0.2043</v>
      </c>
      <c r="J45" s="23" t="n">
        <v>43750</v>
      </c>
    </row>
    <row r="46">
      <c r="A46" s="22" t="inlineStr">
        <is>
          <t>CON-0012</t>
        </is>
      </c>
      <c r="B46" s="22" t="inlineStr">
        <is>
          <t>Alcohol Swab</t>
        </is>
      </c>
      <c r="C46" s="22" t="inlineStr">
        <is>
          <t>Medical Consumables</t>
        </is>
      </c>
      <c r="D46" s="25" t="n">
        <v>2.4</v>
      </c>
      <c r="E46" s="25" t="n">
        <v>2.51</v>
      </c>
      <c r="F46" s="25" t="n">
        <v>2.77</v>
      </c>
      <c r="G46" s="25" t="n">
        <v>2.67</v>
      </c>
      <c r="H46" s="31" t="n">
        <v>0.1036</v>
      </c>
      <c r="I46" s="31" t="n">
        <v>0.1542</v>
      </c>
      <c r="J46" s="23" t="n">
        <v>381200</v>
      </c>
    </row>
    <row r="47">
      <c r="A47" s="22" t="inlineStr">
        <is>
          <t>MED-0010</t>
        </is>
      </c>
      <c r="B47" s="22" t="inlineStr">
        <is>
          <t>Ringer's Lactate 500 ml</t>
        </is>
      </c>
      <c r="C47" s="22" t="inlineStr">
        <is>
          <t>Medicines</t>
        </is>
      </c>
      <c r="D47" s="25" t="n">
        <v>132</v>
      </c>
      <c r="E47" s="25" t="n">
        <v>134.6</v>
      </c>
      <c r="F47" s="25" t="n">
        <v>152.81</v>
      </c>
      <c r="G47" s="25" t="n">
        <v>146.48</v>
      </c>
      <c r="H47" s="31" t="n">
        <v>0.1353</v>
      </c>
      <c r="I47" s="31" t="n">
        <v>0.1577</v>
      </c>
      <c r="J47" s="23" t="n">
        <v>34780</v>
      </c>
    </row>
    <row r="48">
      <c r="A48" s="22" t="inlineStr">
        <is>
          <t>MED-0026</t>
        </is>
      </c>
      <c r="B48" s="22" t="inlineStr">
        <is>
          <t>Hydrocortisone 100 mg Injection</t>
        </is>
      </c>
      <c r="C48" s="22" t="inlineStr">
        <is>
          <t>Medicines</t>
        </is>
      </c>
      <c r="D48" s="25" t="n">
        <v>52</v>
      </c>
      <c r="E48" s="25" t="n">
        <v>52.35</v>
      </c>
      <c r="F48" s="25" t="n">
        <v>66.01000000000001</v>
      </c>
      <c r="G48" s="25" t="n">
        <v>57.62</v>
      </c>
      <c r="H48" s="31" t="n">
        <v>0.2609</v>
      </c>
      <c r="I48" s="31" t="n">
        <v>0.2694</v>
      </c>
      <c r="J48" s="23" t="n">
        <v>7197</v>
      </c>
    </row>
    <row r="49">
      <c r="A49" s="22" t="inlineStr">
        <is>
          <t>CON-0010</t>
        </is>
      </c>
      <c r="B49" s="22" t="inlineStr">
        <is>
          <t>Surgical Face Mask, 3-ply</t>
        </is>
      </c>
      <c r="C49" s="22" t="inlineStr">
        <is>
          <t>Medical Consumables</t>
        </is>
      </c>
      <c r="D49" s="25" t="n">
        <v>7.2</v>
      </c>
      <c r="E49" s="25" t="n">
        <v>7.26</v>
      </c>
      <c r="F49" s="25" t="n">
        <v>8.19</v>
      </c>
      <c r="G49" s="25" t="n">
        <v>8.029999999999999</v>
      </c>
      <c r="H49" s="31" t="n">
        <v>0.1281</v>
      </c>
      <c r="I49" s="31" t="n">
        <v>0.1375</v>
      </c>
      <c r="J49" s="23" t="n">
        <v>337700</v>
      </c>
    </row>
    <row r="50">
      <c r="A50" s="22" t="inlineStr">
        <is>
          <t>CON-0011</t>
        </is>
      </c>
      <c r="B50" s="22" t="inlineStr">
        <is>
          <t>Nitrile Examination Gloves (Box 100)</t>
        </is>
      </c>
      <c r="C50" s="22" t="inlineStr">
        <is>
          <t>Medical Consumables</t>
        </is>
      </c>
      <c r="D50" s="25" t="n">
        <v>1280</v>
      </c>
      <c r="E50" s="25" t="n">
        <v>1365.39</v>
      </c>
      <c r="F50" s="25" t="n">
        <v>1438.86</v>
      </c>
      <c r="G50" s="25" t="n">
        <v>1443.79</v>
      </c>
      <c r="H50" s="31" t="n">
        <v>0.0538</v>
      </c>
      <c r="I50" s="31" t="n">
        <v>0.1241</v>
      </c>
      <c r="J50" s="23" t="n">
        <v>2413</v>
      </c>
    </row>
    <row r="51">
      <c r="A51" s="22" t="inlineStr">
        <is>
          <t>CON-0002</t>
        </is>
      </c>
      <c r="B51" s="22" t="inlineStr">
        <is>
          <t>Surgical Gloves, Sterile 7.5 (Pair)</t>
        </is>
      </c>
      <c r="C51" s="22" t="inlineStr">
        <is>
          <t>Medical Consumables</t>
        </is>
      </c>
      <c r="D51" s="25" t="n">
        <v>62</v>
      </c>
      <c r="E51" s="25" t="n">
        <v>64.23</v>
      </c>
      <c r="F51" s="25" t="n">
        <v>80.17</v>
      </c>
      <c r="G51" s="25" t="n">
        <v>69.18000000000001</v>
      </c>
      <c r="H51" s="31" t="n">
        <v>0.2482</v>
      </c>
      <c r="I51" s="31" t="n">
        <v>0.2931</v>
      </c>
      <c r="J51" s="23" t="n">
        <v>60900</v>
      </c>
    </row>
    <row r="52">
      <c r="A52" s="22" t="inlineStr">
        <is>
          <t>CON-0016</t>
        </is>
      </c>
      <c r="B52" s="22" t="inlineStr">
        <is>
          <t>Umbilical Cord Clamp</t>
        </is>
      </c>
      <c r="C52" s="22" t="inlineStr">
        <is>
          <t>Medical Consumables</t>
        </is>
      </c>
      <c r="D52" s="25" t="n">
        <v>11.5</v>
      </c>
      <c r="E52" s="25" t="n">
        <v>11.05</v>
      </c>
      <c r="F52" s="25" t="n">
        <v>14.38</v>
      </c>
      <c r="G52" s="25" t="n">
        <v>12.87</v>
      </c>
      <c r="H52" s="31" t="n">
        <v>0.3014</v>
      </c>
      <c r="I52" s="31" t="n">
        <v>0.2504</v>
      </c>
      <c r="J52" s="23" t="n">
        <v>115200</v>
      </c>
    </row>
    <row r="53">
      <c r="A53" s="22" t="inlineStr">
        <is>
          <t>CON-0017</t>
        </is>
      </c>
      <c r="B53" s="22" t="inlineStr">
        <is>
          <t>Suture Polyglactin 2-0</t>
        </is>
      </c>
      <c r="C53" s="22" t="inlineStr">
        <is>
          <t>Medical Consumables</t>
        </is>
      </c>
      <c r="D53" s="25" t="n">
        <v>310</v>
      </c>
      <c r="E53" s="25" t="n">
        <v>305.1</v>
      </c>
      <c r="F53" s="25" t="n">
        <v>390.22</v>
      </c>
      <c r="G53" s="25" t="n">
        <v>347.07</v>
      </c>
      <c r="H53" s="31" t="n">
        <v>0.279</v>
      </c>
      <c r="I53" s="31" t="n">
        <v>0.2588</v>
      </c>
      <c r="J53" s="23" t="n">
        <v>6432</v>
      </c>
    </row>
    <row r="54">
      <c r="A54" s="22" t="inlineStr">
        <is>
          <t>CON-0003</t>
        </is>
      </c>
      <c r="B54" s="22" t="inlineStr">
        <is>
          <t>Disposable Syringe 5 ml with Needle</t>
        </is>
      </c>
      <c r="C54" s="22" t="inlineStr">
        <is>
          <t>Medical Consumables</t>
        </is>
      </c>
      <c r="D54" s="25" t="n">
        <v>21.5</v>
      </c>
      <c r="E54" s="25" t="n">
        <v>21.84</v>
      </c>
      <c r="F54" s="25" t="n">
        <v>24.59</v>
      </c>
      <c r="G54" s="25" t="n">
        <v>23.88</v>
      </c>
      <c r="H54" s="31" t="n">
        <v>0.1259</v>
      </c>
      <c r="I54" s="31" t="n">
        <v>0.1437</v>
      </c>
      <c r="J54" s="23" t="n">
        <v>508400</v>
      </c>
    </row>
    <row r="55">
      <c r="A55" s="22" t="inlineStr">
        <is>
          <t>CON-0008</t>
        </is>
      </c>
      <c r="B55" s="22" t="inlineStr">
        <is>
          <t>Gauze Piece Sterile 10x10 cm</t>
        </is>
      </c>
      <c r="C55" s="22" t="inlineStr">
        <is>
          <t>Medical Consumables</t>
        </is>
      </c>
      <c r="D55" s="25" t="n">
        <v>9.800000000000001</v>
      </c>
      <c r="E55" s="25" t="n">
        <v>10.24</v>
      </c>
      <c r="F55" s="25" t="n">
        <v>11.79</v>
      </c>
      <c r="G55" s="25" t="n">
        <v>10.81</v>
      </c>
      <c r="H55" s="31" t="n">
        <v>0.1514</v>
      </c>
      <c r="I55" s="31" t="n">
        <v>0.2031</v>
      </c>
      <c r="J55" s="23" t="n">
        <v>554500</v>
      </c>
    </row>
    <row r="56">
      <c r="A56" s="22" t="inlineStr">
        <is>
          <t>CON-0004</t>
        </is>
      </c>
      <c r="B56" s="22" t="inlineStr">
        <is>
          <t>Disposable Syringe 10 ml with Needle</t>
        </is>
      </c>
      <c r="C56" s="22" t="inlineStr">
        <is>
          <t>Medical Consumables</t>
        </is>
      </c>
      <c r="D56" s="25" t="n">
        <v>27</v>
      </c>
      <c r="E56" s="25" t="n">
        <v>25.61</v>
      </c>
      <c r="F56" s="25" t="n">
        <v>34.25</v>
      </c>
      <c r="G56" s="25" t="n">
        <v>30</v>
      </c>
      <c r="H56" s="31" t="n">
        <v>0.3374</v>
      </c>
      <c r="I56" s="31" t="n">
        <v>0.2685</v>
      </c>
      <c r="J56" s="23" t="n">
        <v>251100</v>
      </c>
    </row>
    <row r="57">
      <c r="A57" s="22" t="inlineStr">
        <is>
          <t>CON-0009</t>
        </is>
      </c>
      <c r="B57" s="22" t="inlineStr">
        <is>
          <t>Adhesive Bandage 10 cm x 4 m</t>
        </is>
      </c>
      <c r="C57" s="22" t="inlineStr">
        <is>
          <t>Medical Consumables</t>
        </is>
      </c>
      <c r="D57" s="25" t="n">
        <v>96</v>
      </c>
      <c r="E57" s="25" t="n">
        <v>101.87</v>
      </c>
      <c r="F57" s="25" t="n">
        <v>123.58</v>
      </c>
      <c r="G57" s="25" t="n">
        <v>106.84</v>
      </c>
      <c r="H57" s="31" t="n">
        <v>0.2131</v>
      </c>
      <c r="I57" s="31" t="n">
        <v>0.2873</v>
      </c>
      <c r="J57" s="23" t="n">
        <v>22536</v>
      </c>
    </row>
    <row r="58">
      <c r="A58" s="22" t="inlineStr">
        <is>
          <t>LAB-0002</t>
        </is>
      </c>
      <c r="B58" s="22" t="inlineStr">
        <is>
          <t>Rapid Diagnostic Test - Malaria</t>
        </is>
      </c>
      <c r="C58" s="22" t="inlineStr">
        <is>
          <t>Laboratory</t>
        </is>
      </c>
      <c r="D58" s="25" t="n">
        <v>148</v>
      </c>
      <c r="E58" s="25" t="n">
        <v>143.13</v>
      </c>
      <c r="F58" s="25" t="n">
        <v>181.11</v>
      </c>
      <c r="G58" s="25" t="n">
        <v>164.36</v>
      </c>
      <c r="H58" s="31" t="n">
        <v>0.2654</v>
      </c>
      <c r="I58" s="31" t="n">
        <v>0.2237</v>
      </c>
      <c r="J58" s="23" t="n">
        <v>37200</v>
      </c>
    </row>
    <row r="59">
      <c r="A59" s="22" t="inlineStr">
        <is>
          <t>CON-0013</t>
        </is>
      </c>
      <c r="B59" s="22" t="inlineStr">
        <is>
          <t>Povidone Iodine 10% 100 ml</t>
        </is>
      </c>
      <c r="C59" s="22" t="inlineStr">
        <is>
          <t>Medical Consumables</t>
        </is>
      </c>
      <c r="D59" s="25" t="n">
        <v>168</v>
      </c>
      <c r="E59" s="25" t="n">
        <v>172.28</v>
      </c>
      <c r="F59" s="25" t="n">
        <v>212.82</v>
      </c>
      <c r="G59" s="25" t="n">
        <v>188.21</v>
      </c>
      <c r="H59" s="31" t="n">
        <v>0.2353</v>
      </c>
      <c r="I59" s="31" t="n">
        <v>0.2668</v>
      </c>
      <c r="J59" s="23" t="n">
        <v>13128</v>
      </c>
    </row>
    <row r="60">
      <c r="A60" s="22" t="inlineStr">
        <is>
          <t>CON-0006</t>
        </is>
      </c>
      <c r="B60" s="22" t="inlineStr">
        <is>
          <t>IV Giving Set</t>
        </is>
      </c>
      <c r="C60" s="22" t="inlineStr">
        <is>
          <t>Medical Consumables</t>
        </is>
      </c>
      <c r="D60" s="25" t="n">
        <v>84</v>
      </c>
      <c r="E60" s="25" t="n">
        <v>90.73</v>
      </c>
      <c r="F60" s="25" t="n">
        <v>101.26</v>
      </c>
      <c r="G60" s="25" t="n">
        <v>93.94</v>
      </c>
      <c r="H60" s="31" t="n">
        <v>0.1161</v>
      </c>
      <c r="I60" s="31" t="n">
        <v>0.2055</v>
      </c>
      <c r="J60" s="23" t="n">
        <v>25700</v>
      </c>
    </row>
    <row r="61">
      <c r="A61" s="22" t="inlineStr">
        <is>
          <t>NUT-0002</t>
        </is>
      </c>
      <c r="B61" s="22" t="inlineStr">
        <is>
          <t>F-75 Therapeutic Milk 400 g</t>
        </is>
      </c>
      <c r="C61" s="22" t="inlineStr">
        <is>
          <t>Nutrition</t>
        </is>
      </c>
      <c r="D61" s="25" t="n">
        <v>690</v>
      </c>
      <c r="E61" s="25" t="n">
        <v>715.77</v>
      </c>
      <c r="F61" s="25" t="n">
        <v>794.21</v>
      </c>
      <c r="G61" s="25" t="n">
        <v>759.4400000000001</v>
      </c>
      <c r="H61" s="31" t="n">
        <v>0.1096</v>
      </c>
      <c r="I61" s="31" t="n">
        <v>0.151</v>
      </c>
      <c r="J61" s="23" t="n">
        <v>14448</v>
      </c>
    </row>
    <row r="62">
      <c r="A62" s="22" t="inlineStr">
        <is>
          <t>LAB-0003</t>
        </is>
      </c>
      <c r="B62" s="22" t="inlineStr">
        <is>
          <t>Rapid Diagnostic Test - Hepatitis B</t>
        </is>
      </c>
      <c r="C62" s="22" t="inlineStr">
        <is>
          <t>Laboratory</t>
        </is>
      </c>
      <c r="D62" s="25" t="n">
        <v>172</v>
      </c>
      <c r="E62" s="25" t="n">
        <v>163.71</v>
      </c>
      <c r="F62" s="25" t="n">
        <v>207.48</v>
      </c>
      <c r="G62" s="25" t="n">
        <v>189</v>
      </c>
      <c r="H62" s="31" t="n">
        <v>0.2674</v>
      </c>
      <c r="I62" s="31" t="n">
        <v>0.2063</v>
      </c>
      <c r="J62" s="23" t="n">
        <v>22975</v>
      </c>
    </row>
    <row r="63">
      <c r="A63" s="22" t="inlineStr">
        <is>
          <t>LAB-0006</t>
        </is>
      </c>
      <c r="B63" s="22" t="inlineStr">
        <is>
          <t>Blood Collection Tube EDTA 4 ml</t>
        </is>
      </c>
      <c r="C63" s="22" t="inlineStr">
        <is>
          <t>Laboratory</t>
        </is>
      </c>
      <c r="D63" s="25" t="n">
        <v>27.5</v>
      </c>
      <c r="E63" s="25" t="n">
        <v>26.12</v>
      </c>
      <c r="F63" s="25" t="n">
        <v>31.27</v>
      </c>
      <c r="G63" s="25" t="n">
        <v>30.2</v>
      </c>
      <c r="H63" s="31" t="n">
        <v>0.1972</v>
      </c>
      <c r="I63" s="31" t="n">
        <v>0.1371</v>
      </c>
      <c r="J63" s="23" t="n">
        <v>70800</v>
      </c>
    </row>
    <row r="64">
      <c r="A64" s="22" t="inlineStr">
        <is>
          <t>LAB-0008</t>
        </is>
      </c>
      <c r="B64" s="22" t="inlineStr">
        <is>
          <t>Ziehl-Neelsen Stain Kit</t>
        </is>
      </c>
      <c r="C64" s="22" t="inlineStr">
        <is>
          <t>Laboratory</t>
        </is>
      </c>
      <c r="D64" s="25" t="n">
        <v>3950</v>
      </c>
      <c r="E64" s="25" t="n">
        <v>3708.29</v>
      </c>
      <c r="F64" s="25" t="n">
        <v>4705</v>
      </c>
      <c r="G64" s="25" t="n">
        <v>4345.08</v>
      </c>
      <c r="H64" s="31" t="n">
        <v>0.2688</v>
      </c>
      <c r="I64" s="31" t="n">
        <v>0.1911</v>
      </c>
      <c r="J64" s="23" t="n">
        <v>362</v>
      </c>
    </row>
    <row r="65">
      <c r="A65" s="22" t="inlineStr">
        <is>
          <t>NUT-0006</t>
        </is>
      </c>
      <c r="B65" s="22" t="inlineStr">
        <is>
          <t>Therapeutic Zinc + ORS Combo Pack</t>
        </is>
      </c>
      <c r="C65" s="22" t="inlineStr">
        <is>
          <t>Nutrition</t>
        </is>
      </c>
      <c r="D65" s="25" t="n">
        <v>96</v>
      </c>
      <c r="E65" s="25" t="n">
        <v>96.63</v>
      </c>
      <c r="F65" s="25" t="n">
        <v>109.17</v>
      </c>
      <c r="G65" s="25" t="n">
        <v>107.08</v>
      </c>
      <c r="H65" s="31" t="n">
        <v>0.1298</v>
      </c>
      <c r="I65" s="31" t="n">
        <v>0.1372</v>
      </c>
      <c r="J65" s="23" t="n">
        <v>48640</v>
      </c>
    </row>
    <row r="66">
      <c r="A66" s="22" t="inlineStr">
        <is>
          <t>NUT-0005</t>
        </is>
      </c>
      <c r="B66" s="22" t="inlineStr">
        <is>
          <t>Multiple Micronutrient Powder</t>
        </is>
      </c>
      <c r="C66" s="22" t="inlineStr">
        <is>
          <t>Nutrition</t>
        </is>
      </c>
      <c r="D66" s="25" t="n">
        <v>58</v>
      </c>
      <c r="E66" s="25" t="n">
        <v>56.35</v>
      </c>
      <c r="F66" s="25" t="n">
        <v>68.92</v>
      </c>
      <c r="G66" s="25" t="n">
        <v>63.91</v>
      </c>
      <c r="H66" s="31" t="n">
        <v>0.2231</v>
      </c>
      <c r="I66" s="31" t="n">
        <v>0.1883</v>
      </c>
      <c r="J66" s="23" t="n">
        <v>137340</v>
      </c>
    </row>
    <row r="67">
      <c r="A67" s="22" t="inlineStr">
        <is>
          <t>NUT-0004</t>
        </is>
      </c>
      <c r="B67" s="22" t="inlineStr">
        <is>
          <t>Ready-to-Use Supplementary Food (RUSF)</t>
        </is>
      </c>
      <c r="C67" s="22" t="inlineStr">
        <is>
          <t>Nutrition</t>
        </is>
      </c>
      <c r="D67" s="25" t="n">
        <v>145</v>
      </c>
      <c r="E67" s="25" t="n">
        <v>153.72</v>
      </c>
      <c r="F67" s="25" t="n">
        <v>181.79</v>
      </c>
      <c r="G67" s="25" t="n">
        <v>162.29</v>
      </c>
      <c r="H67" s="31" t="n">
        <v>0.1826</v>
      </c>
      <c r="I67" s="31" t="n">
        <v>0.2537</v>
      </c>
      <c r="J67" s="23" t="n">
        <v>63000</v>
      </c>
    </row>
    <row r="68">
      <c r="A68" s="22" t="inlineStr">
        <is>
          <t>LAB-0004</t>
        </is>
      </c>
      <c r="B68" s="22" t="inlineStr">
        <is>
          <t>Rapid Diagnostic Test - Hepatitis C</t>
        </is>
      </c>
      <c r="C68" s="22" t="inlineStr">
        <is>
          <t>Laboratory</t>
        </is>
      </c>
      <c r="D68" s="25" t="n">
        <v>188</v>
      </c>
      <c r="E68" s="25" t="n">
        <v>192.09</v>
      </c>
      <c r="F68" s="25" t="n">
        <v>224.89</v>
      </c>
      <c r="G68" s="25" t="n">
        <v>208.16</v>
      </c>
      <c r="H68" s="31" t="n">
        <v>0.1708</v>
      </c>
      <c r="I68" s="31" t="n">
        <v>0.1962</v>
      </c>
      <c r="J68" s="23" t="n">
        <v>20725</v>
      </c>
    </row>
    <row r="69">
      <c r="A69" s="22" t="inlineStr">
        <is>
          <t>LAB-0001</t>
        </is>
      </c>
      <c r="B69" s="22" t="inlineStr">
        <is>
          <t>Hemoglobin Reagent (Cyanmethemoglobin)</t>
        </is>
      </c>
      <c r="C69" s="22" t="inlineStr">
        <is>
          <t>Laboratory</t>
        </is>
      </c>
      <c r="D69" s="25" t="n">
        <v>4850</v>
      </c>
      <c r="E69" s="25" t="n">
        <v>4535.79</v>
      </c>
      <c r="F69" s="25" t="n">
        <v>5543.78</v>
      </c>
      <c r="G69" s="25" t="n">
        <v>5306.92</v>
      </c>
      <c r="H69" s="31" t="n">
        <v>0.2222</v>
      </c>
      <c r="I69" s="31" t="n">
        <v>0.143</v>
      </c>
      <c r="J69" s="23" t="n">
        <v>757</v>
      </c>
    </row>
    <row r="70">
      <c r="A70" s="22" t="inlineStr">
        <is>
          <t>NUT-0007</t>
        </is>
      </c>
      <c r="B70" s="22" t="inlineStr">
        <is>
          <t>Infant Formula, Therapeutic (Lactogen-free)</t>
        </is>
      </c>
      <c r="C70" s="22" t="inlineStr">
        <is>
          <t>Nutrition</t>
        </is>
      </c>
      <c r="D70" s="25" t="n">
        <v>1240</v>
      </c>
      <c r="E70" s="25" t="n">
        <v>1163.97</v>
      </c>
      <c r="F70" s="25" t="n">
        <v>1605.02</v>
      </c>
      <c r="G70" s="25" t="n">
        <v>1359.72</v>
      </c>
      <c r="H70" s="31" t="n">
        <v>0.3789</v>
      </c>
      <c r="I70" s="31" t="n">
        <v>0.2944</v>
      </c>
      <c r="J70" s="23" t="n">
        <v>4524</v>
      </c>
    </row>
    <row r="71">
      <c r="A71" s="22" t="inlineStr">
        <is>
          <t>GEN-0002</t>
        </is>
      </c>
      <c r="B71" s="22" t="inlineStr">
        <is>
          <t>Bleach Solution 5% 1 L</t>
        </is>
      </c>
      <c r="C71" s="22" t="inlineStr">
        <is>
          <t>General Items</t>
        </is>
      </c>
      <c r="D71" s="25" t="n">
        <v>285</v>
      </c>
      <c r="E71" s="25" t="n">
        <v>276.18</v>
      </c>
      <c r="F71" s="25" t="n">
        <v>330.36</v>
      </c>
      <c r="G71" s="25" t="n">
        <v>316.31</v>
      </c>
      <c r="H71" s="31" t="n">
        <v>0.1962</v>
      </c>
      <c r="I71" s="31" t="n">
        <v>0.1592</v>
      </c>
      <c r="J71" s="23" t="n">
        <v>4404</v>
      </c>
    </row>
    <row r="72">
      <c r="A72" s="22" t="inlineStr">
        <is>
          <t>NUT-0001</t>
        </is>
      </c>
      <c r="B72" s="22" t="inlineStr">
        <is>
          <t>RUTF Plumpy'Nut 92 g Sachet</t>
        </is>
      </c>
      <c r="C72" s="22" t="inlineStr">
        <is>
          <t>Nutrition</t>
        </is>
      </c>
      <c r="D72" s="25" t="n">
        <v>218</v>
      </c>
      <c r="E72" s="25" t="n">
        <v>217.15</v>
      </c>
      <c r="F72" s="25" t="n">
        <v>281.28</v>
      </c>
      <c r="G72" s="25" t="n">
        <v>244.41</v>
      </c>
      <c r="H72" s="31" t="n">
        <v>0.2953</v>
      </c>
      <c r="I72" s="31" t="n">
        <v>0.2903</v>
      </c>
      <c r="J72" s="23" t="n">
        <v>100950</v>
      </c>
    </row>
    <row r="73">
      <c r="A73" s="22" t="inlineStr">
        <is>
          <t>GEN-0004</t>
        </is>
      </c>
      <c r="B73" s="22" t="inlineStr">
        <is>
          <t>Registers &amp; Health Cards (Pack)</t>
        </is>
      </c>
      <c r="C73" s="22" t="inlineStr">
        <is>
          <t>General Items</t>
        </is>
      </c>
      <c r="D73" s="25" t="n">
        <v>890</v>
      </c>
      <c r="E73" s="25" t="n">
        <v>863.84</v>
      </c>
      <c r="F73" s="25" t="n">
        <v>1123.43</v>
      </c>
      <c r="G73" s="25" t="n">
        <v>984.7</v>
      </c>
      <c r="H73" s="31" t="n">
        <v>0.3005</v>
      </c>
      <c r="I73" s="31" t="n">
        <v>0.2623</v>
      </c>
      <c r="J73" s="23" t="n">
        <v>721</v>
      </c>
    </row>
    <row r="74">
      <c r="A74" s="22" t="inlineStr">
        <is>
          <t>GEN-0001</t>
        </is>
      </c>
      <c r="B74" s="22" t="inlineStr">
        <is>
          <t>Nitrile Gloves, Utility (Pair)</t>
        </is>
      </c>
      <c r="C74" s="22" t="inlineStr">
        <is>
          <t>General Items</t>
        </is>
      </c>
      <c r="D74" s="25" t="n">
        <v>32</v>
      </c>
      <c r="E74" s="25" t="n">
        <v>32.57</v>
      </c>
      <c r="F74" s="25" t="n">
        <v>38.4</v>
      </c>
      <c r="G74" s="25" t="n">
        <v>35.54</v>
      </c>
      <c r="H74" s="31" t="n">
        <v>0.179</v>
      </c>
      <c r="I74" s="31" t="n">
        <v>0.2</v>
      </c>
      <c r="J74" s="23" t="n">
        <v>36750</v>
      </c>
    </row>
    <row r="75">
      <c r="A75" s="22" t="inlineStr">
        <is>
          <t>GEN-0006</t>
        </is>
      </c>
      <c r="B75" s="22" t="inlineStr">
        <is>
          <t>Biohazard Waste Bag (Pack 50)</t>
        </is>
      </c>
      <c r="C75" s="22" t="inlineStr">
        <is>
          <t>General Items</t>
        </is>
      </c>
      <c r="D75" s="25" t="n">
        <v>560</v>
      </c>
      <c r="E75" s="25" t="n">
        <v>568.0700000000001</v>
      </c>
      <c r="F75" s="25" t="n">
        <v>704.3200000000001</v>
      </c>
      <c r="G75" s="25" t="n">
        <v>617.53</v>
      </c>
      <c r="H75" s="31" t="n">
        <v>0.2398</v>
      </c>
      <c r="I75" s="31" t="n">
        <v>0.2577</v>
      </c>
      <c r="J75" s="23" t="n">
        <v>3210</v>
      </c>
    </row>
    <row r="76">
      <c r="A76" s="22" t="inlineStr">
        <is>
          <t>GEN-0007</t>
        </is>
      </c>
      <c r="B76" s="22" t="inlineStr">
        <is>
          <t>Printed IEC Material (Booklet)</t>
        </is>
      </c>
      <c r="C76" s="22" t="inlineStr">
        <is>
          <t>General Items</t>
        </is>
      </c>
      <c r="D76" s="25" t="n">
        <v>38</v>
      </c>
      <c r="E76" s="25" t="n">
        <v>38.32</v>
      </c>
      <c r="F76" s="25" t="n">
        <v>43.02</v>
      </c>
      <c r="G76" s="25" t="n">
        <v>42.39</v>
      </c>
      <c r="H76" s="31" t="n">
        <v>0.1227</v>
      </c>
      <c r="I76" s="31" t="n">
        <v>0.1321</v>
      </c>
      <c r="J76" s="23" t="n">
        <v>64700</v>
      </c>
    </row>
    <row r="77">
      <c r="A77" s="22" t="inlineStr">
        <is>
          <t>NUT-0003</t>
        </is>
      </c>
      <c r="B77" s="22" t="inlineStr">
        <is>
          <t>F-100 Therapeutic Milk 400 g</t>
        </is>
      </c>
      <c r="C77" s="22" t="inlineStr">
        <is>
          <t>Nutrition</t>
        </is>
      </c>
      <c r="D77" s="25" t="n">
        <v>760</v>
      </c>
      <c r="E77" s="25" t="n">
        <v>800.0599999999999</v>
      </c>
      <c r="F77" s="25" t="n">
        <v>954.51</v>
      </c>
      <c r="G77" s="25" t="n">
        <v>840.52</v>
      </c>
      <c r="H77" s="31" t="n">
        <v>0.193</v>
      </c>
      <c r="I77" s="31" t="n">
        <v>0.2559</v>
      </c>
      <c r="J77" s="23" t="n">
        <v>14928</v>
      </c>
    </row>
    <row r="78">
      <c r="A78" s="22" t="inlineStr">
        <is>
          <t>LAB-0005</t>
        </is>
      </c>
      <c r="B78" s="22" t="inlineStr">
        <is>
          <t>Glucose Test Strips</t>
        </is>
      </c>
      <c r="C78" s="22" t="inlineStr">
        <is>
          <t>Laboratory</t>
        </is>
      </c>
      <c r="D78" s="25" t="n">
        <v>42</v>
      </c>
      <c r="E78" s="25" t="n">
        <v>41.06</v>
      </c>
      <c r="F78" s="25" t="n">
        <v>50.15</v>
      </c>
      <c r="G78" s="25" t="n">
        <v>46.79</v>
      </c>
      <c r="H78" s="31" t="n">
        <v>0.2214</v>
      </c>
      <c r="I78" s="31" t="n">
        <v>0.194</v>
      </c>
      <c r="J78" s="23" t="n">
        <v>27300</v>
      </c>
    </row>
    <row r="79">
      <c r="A79" s="22" t="inlineStr">
        <is>
          <t>GEN-0003</t>
        </is>
      </c>
      <c r="B79" s="22" t="inlineStr">
        <is>
          <t>A4 Paper Ream 80 gsm</t>
        </is>
      </c>
      <c r="C79" s="22" t="inlineStr">
        <is>
          <t>General Items</t>
        </is>
      </c>
      <c r="D79" s="25" t="n">
        <v>1650</v>
      </c>
      <c r="E79" s="25" t="n">
        <v>1703.69</v>
      </c>
      <c r="F79" s="25" t="n">
        <v>1862.84</v>
      </c>
      <c r="G79" s="25" t="n">
        <v>1830.99</v>
      </c>
      <c r="H79" s="31" t="n">
        <v>0.0934</v>
      </c>
      <c r="I79" s="31" t="n">
        <v>0.129</v>
      </c>
      <c r="J79" s="23" t="n">
        <v>810</v>
      </c>
    </row>
    <row r="80">
      <c r="A80" s="22" t="inlineStr">
        <is>
          <t>GEN-0005</t>
        </is>
      </c>
      <c r="B80" s="22" t="inlineStr">
        <is>
          <t>Sharps Disposal Container 5 L</t>
        </is>
      </c>
      <c r="C80" s="22" t="inlineStr">
        <is>
          <t>General Items</t>
        </is>
      </c>
      <c r="D80" s="25" t="n">
        <v>420</v>
      </c>
      <c r="E80" s="25" t="n">
        <v>407.95</v>
      </c>
      <c r="F80" s="25" t="n">
        <v>497.72</v>
      </c>
      <c r="G80" s="25" t="n">
        <v>471.68</v>
      </c>
      <c r="H80" s="31" t="n">
        <v>0.2201</v>
      </c>
      <c r="I80" s="31" t="n">
        <v>0.185</v>
      </c>
      <c r="J80" s="23" t="n">
        <v>4608</v>
      </c>
    </row>
    <row r="81">
      <c r="A81" s="22" t="inlineStr">
        <is>
          <t>GEN-0008</t>
        </is>
      </c>
      <c r="B81" s="22" t="inlineStr">
        <is>
          <t>Hand Wash Soap 100 g</t>
        </is>
      </c>
      <c r="C81" s="22" t="inlineStr">
        <is>
          <t>General Items</t>
        </is>
      </c>
      <c r="D81" s="25" t="n">
        <v>118</v>
      </c>
      <c r="E81" s="25" t="n">
        <v>124.64</v>
      </c>
      <c r="F81" s="25" t="n">
        <v>150.43</v>
      </c>
      <c r="G81" s="25" t="n">
        <v>131.07</v>
      </c>
      <c r="H81" s="31" t="n">
        <v>0.2069</v>
      </c>
      <c r="I81" s="31" t="n">
        <v>0.2748</v>
      </c>
      <c r="J81" s="23" t="n">
        <v>8376</v>
      </c>
    </row>
    <row r="82">
      <c r="A82" s="22" t="inlineStr">
        <is>
          <t>LAB-0007</t>
        </is>
      </c>
      <c r="B82" s="22" t="inlineStr">
        <is>
          <t>Microscope Slide, Frosted</t>
        </is>
      </c>
      <c r="C82" s="22" t="inlineStr">
        <is>
          <t>Laboratory</t>
        </is>
      </c>
      <c r="D82" s="25" t="n">
        <v>5.6</v>
      </c>
      <c r="E82" s="25" t="n">
        <v>5.92</v>
      </c>
      <c r="F82" s="25" t="n">
        <v>6.67</v>
      </c>
      <c r="G82" s="25" t="n">
        <v>6.19</v>
      </c>
      <c r="H82" s="31" t="n">
        <v>0.1267</v>
      </c>
      <c r="I82" s="31" t="n">
        <v>0.1911</v>
      </c>
      <c r="J82" s="23" t="n">
        <v>49600</v>
      </c>
    </row>
    <row r="83">
      <c r="A83" s="22" t="inlineStr">
        <is>
          <t>EQP-0006</t>
        </is>
      </c>
      <c r="B83" s="22" t="inlineStr">
        <is>
          <t>Digital Thermometer</t>
        </is>
      </c>
      <c r="C83" s="22" t="inlineStr">
        <is>
          <t>Equipment</t>
        </is>
      </c>
      <c r="D83" s="25" t="n">
        <v>1450</v>
      </c>
      <c r="E83" s="25" t="n">
        <v>1491.09</v>
      </c>
      <c r="F83" s="25" t="n">
        <v>1759.03</v>
      </c>
      <c r="G83" s="25" t="n">
        <v>1590.21</v>
      </c>
      <c r="H83" s="31" t="n">
        <v>0.1797</v>
      </c>
      <c r="I83" s="31" t="n">
        <v>0.2131</v>
      </c>
      <c r="J83" s="23" t="n">
        <v>4</v>
      </c>
    </row>
    <row r="84">
      <c r="A84" s="22" t="inlineStr">
        <is>
          <t>EQP-0010</t>
        </is>
      </c>
      <c r="B84" s="22" t="inlineStr">
        <is>
          <t>Cold Box, Vaccine Carrier 5 L</t>
        </is>
      </c>
      <c r="C84" s="22" t="inlineStr">
        <is>
          <t>Equipment</t>
        </is>
      </c>
      <c r="D84" s="25" t="n">
        <v>12800</v>
      </c>
      <c r="E84" s="25" t="n">
        <v>12446.64</v>
      </c>
      <c r="F84" s="25" t="n">
        <v>12446.64</v>
      </c>
      <c r="G84" s="25" t="n">
        <v>12446.64</v>
      </c>
      <c r="H84" s="31" t="n">
        <v>0</v>
      </c>
      <c r="I84" s="31" t="n">
        <v>-0.0276</v>
      </c>
      <c r="J84" s="23" t="n">
        <v>1</v>
      </c>
    </row>
    <row r="85">
      <c r="A85" s="22" t="inlineStr">
        <is>
          <t>EQP-0009</t>
        </is>
      </c>
      <c r="B85" s="22" t="inlineStr">
        <is>
          <t>Examination Couch, Folding</t>
        </is>
      </c>
      <c r="C85" s="22" t="inlineStr">
        <is>
          <t>Equipment</t>
        </is>
      </c>
      <c r="D85" s="25" t="n">
        <v>34000</v>
      </c>
      <c r="E85" s="25" t="n">
        <v>35081.64</v>
      </c>
      <c r="F85" s="25" t="n">
        <v>35081.64</v>
      </c>
      <c r="G85" s="25" t="n">
        <v>35081.64</v>
      </c>
      <c r="H85" s="31" t="n">
        <v>0</v>
      </c>
      <c r="I85" s="31" t="n">
        <v>0.0318</v>
      </c>
      <c r="J85" s="23" t="n">
        <v>1</v>
      </c>
    </row>
    <row r="86">
      <c r="A86" s="22" t="inlineStr">
        <is>
          <t>EQP-0007</t>
        </is>
      </c>
      <c r="B86" s="22" t="inlineStr">
        <is>
          <t>Pulse Oximeter, Fingertip</t>
        </is>
      </c>
      <c r="C86" s="22" t="inlineStr">
        <is>
          <t>Equipment</t>
        </is>
      </c>
      <c r="D86" s="25" t="n">
        <v>6800</v>
      </c>
      <c r="E86" s="25" t="n">
        <v>7647.08</v>
      </c>
      <c r="F86" s="25" t="n">
        <v>7647.08</v>
      </c>
      <c r="G86" s="25" t="n">
        <v>7647.08</v>
      </c>
      <c r="H86" s="31" t="n">
        <v>0</v>
      </c>
      <c r="I86" s="31" t="n">
        <v>0.1246</v>
      </c>
      <c r="J86" s="23" t="n">
        <v>1</v>
      </c>
    </row>
    <row r="87">
      <c r="A87" s="26" t="inlineStr"/>
      <c r="B87" s="26" t="inlineStr">
        <is>
          <t>AVERAGE / TOTAL</t>
        </is>
      </c>
      <c r="C87" s="26" t="inlineStr"/>
      <c r="D87" s="26" t="inlineStr"/>
      <c r="E87" s="26" t="inlineStr"/>
      <c r="F87" s="26" t="inlineStr"/>
      <c r="G87" s="26" t="inlineStr"/>
      <c r="H87" s="32" t="n">
        <v>0.1915</v>
      </c>
      <c r="I87" s="32" t="n">
        <v>0.1998</v>
      </c>
      <c r="J87" s="27" t="n">
        <v>9445817</v>
      </c>
    </row>
  </sheetData>
  <mergeCells count="1">
    <mergeCell ref="A2:J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2A65A"/>
    <outlinePr summaryBelow="1" summaryRight="1"/>
    <pageSetUpPr/>
  </sheetPr>
  <dimension ref="A1:J99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Stock on Hand, Cover and Expiry Risk</t>
        </is>
      </c>
    </row>
    <row r="2">
      <c r="A2" s="2" t="inlineStr">
        <is>
          <t>Balances as at 30-Sep-2026. Days of cover uses consumption over the last 90 days.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On hand</t>
        </is>
      </c>
      <c r="E5" s="11" t="inlineStr">
        <is>
          <t>Stock value</t>
        </is>
      </c>
      <c r="F5" s="11" t="inlineStr">
        <is>
          <t>Consumed (90 days)</t>
        </is>
      </c>
      <c r="G5" s="11" t="inlineStr">
        <is>
          <t>Days of cover</t>
        </is>
      </c>
      <c r="H5" s="11" t="inlineStr">
        <is>
          <t>Expiring ≤ 60 days</t>
        </is>
      </c>
      <c r="I5" s="11" t="inlineStr">
        <is>
          <t>Expired qty</t>
        </is>
      </c>
      <c r="J5" s="11" t="inlineStr">
        <is>
          <t>Cover status</t>
        </is>
      </c>
    </row>
    <row r="6">
      <c r="A6" s="22" t="inlineStr">
        <is>
          <t>MED-0031</t>
        </is>
      </c>
      <c r="B6" s="22" t="inlineStr">
        <is>
          <t>Deferasirox 500 mg Tablet</t>
        </is>
      </c>
      <c r="C6" s="22" t="inlineStr">
        <is>
          <t>Medicines</t>
        </is>
      </c>
      <c r="D6" s="23" t="n">
        <v>1980</v>
      </c>
      <c r="E6" s="23" t="n">
        <v>2871000</v>
      </c>
      <c r="F6" s="23" t="n">
        <v>1860</v>
      </c>
      <c r="G6" s="23" t="n">
        <v>97</v>
      </c>
      <c r="H6" s="23" t="n">
        <v>0</v>
      </c>
      <c r="I6" s="23" t="n">
        <v>0</v>
      </c>
      <c r="J6" s="22" t="inlineStr">
        <is>
          <t>Adequate</t>
        </is>
      </c>
    </row>
    <row r="7">
      <c r="A7" s="22" t="inlineStr">
        <is>
          <t>MED-0007</t>
        </is>
      </c>
      <c r="B7" s="22" t="inlineStr">
        <is>
          <t>ORS Sachet (Low Osmolarity)</t>
        </is>
      </c>
      <c r="C7" s="22" t="inlineStr">
        <is>
          <t>Medicines</t>
        </is>
      </c>
      <c r="D7" s="23" t="n">
        <v>125400</v>
      </c>
      <c r="E7" s="23" t="n">
        <v>2821500</v>
      </c>
      <c r="F7" s="23" t="n">
        <v>73100</v>
      </c>
      <c r="G7" s="23" t="n">
        <v>156</v>
      </c>
      <c r="H7" s="23" t="n">
        <v>0</v>
      </c>
      <c r="I7" s="23" t="n">
        <v>19200</v>
      </c>
      <c r="J7" s="22" t="inlineStr">
        <is>
          <t>Adequate</t>
        </is>
      </c>
    </row>
    <row r="8">
      <c r="A8" s="22" t="inlineStr">
        <is>
          <t>CON-0001</t>
        </is>
      </c>
      <c r="B8" s="22" t="inlineStr">
        <is>
          <t>Examination Gloves, Latex (Pair)</t>
        </is>
      </c>
      <c r="C8" s="22" t="inlineStr">
        <is>
          <t>Medical Consumables</t>
        </is>
      </c>
      <c r="D8" s="23" t="n">
        <v>122500</v>
      </c>
      <c r="E8" s="23" t="n">
        <v>1776250</v>
      </c>
      <c r="F8" s="23" t="n">
        <v>94900</v>
      </c>
      <c r="G8" s="23" t="n">
        <v>117</v>
      </c>
      <c r="H8" s="23" t="n">
        <v>0</v>
      </c>
      <c r="I8" s="23" t="n">
        <v>0</v>
      </c>
      <c r="J8" s="22" t="inlineStr">
        <is>
          <t>Adequate</t>
        </is>
      </c>
    </row>
    <row r="9">
      <c r="A9" s="22" t="inlineStr">
        <is>
          <t>CON-0003</t>
        </is>
      </c>
      <c r="B9" s="22" t="inlineStr">
        <is>
          <t>Disposable Syringe 5 ml with Needle</t>
        </is>
      </c>
      <c r="C9" s="22" t="inlineStr">
        <is>
          <t>Medical Consumables</t>
        </is>
      </c>
      <c r="D9" s="23" t="n">
        <v>82600</v>
      </c>
      <c r="E9" s="23" t="n">
        <v>1775900</v>
      </c>
      <c r="F9" s="23" t="n">
        <v>76400</v>
      </c>
      <c r="G9" s="23" t="n">
        <v>98</v>
      </c>
      <c r="H9" s="23" t="n">
        <v>0</v>
      </c>
      <c r="I9" s="23" t="n">
        <v>0</v>
      </c>
      <c r="J9" s="22" t="inlineStr">
        <is>
          <t>Adequate</t>
        </is>
      </c>
    </row>
    <row r="10">
      <c r="A10" s="22" t="inlineStr">
        <is>
          <t>NUT-0001</t>
        </is>
      </c>
      <c r="B10" s="22" t="inlineStr">
        <is>
          <t>RUTF Plumpy'Nut 92 g Sachet</t>
        </is>
      </c>
      <c r="C10" s="22" t="inlineStr">
        <is>
          <t>Nutrition</t>
        </is>
      </c>
      <c r="D10" s="23" t="n">
        <v>8100</v>
      </c>
      <c r="E10" s="23" t="n">
        <v>1765800</v>
      </c>
      <c r="F10" s="23" t="n">
        <v>14250</v>
      </c>
      <c r="G10" s="23" t="n">
        <v>52</v>
      </c>
      <c r="H10" s="23" t="n">
        <v>0</v>
      </c>
      <c r="I10" s="23" t="n">
        <v>0</v>
      </c>
      <c r="J10" s="22" t="inlineStr">
        <is>
          <t>Adequate</t>
        </is>
      </c>
    </row>
    <row r="11">
      <c r="A11" s="22" t="inlineStr">
        <is>
          <t>NUT-0003</t>
        </is>
      </c>
      <c r="B11" s="22" t="inlineStr">
        <is>
          <t>F-100 Therapeutic Milk 400 g</t>
        </is>
      </c>
      <c r="C11" s="22" t="inlineStr">
        <is>
          <t>Nutrition</t>
        </is>
      </c>
      <c r="D11" s="23" t="n">
        <v>2184</v>
      </c>
      <c r="E11" s="23" t="n">
        <v>1659840</v>
      </c>
      <c r="F11" s="23" t="n">
        <v>2280</v>
      </c>
      <c r="G11" s="23" t="n">
        <v>87</v>
      </c>
      <c r="H11" s="23" t="n">
        <v>0</v>
      </c>
      <c r="I11" s="23" t="n">
        <v>0</v>
      </c>
      <c r="J11" s="22" t="inlineStr">
        <is>
          <t>Adequate</t>
        </is>
      </c>
    </row>
    <row r="12">
      <c r="A12" s="22" t="inlineStr">
        <is>
          <t>CON-0015</t>
        </is>
      </c>
      <c r="B12" s="22" t="inlineStr">
        <is>
          <t>Disposable Delivery Kit</t>
        </is>
      </c>
      <c r="C12" s="22" t="inlineStr">
        <is>
          <t>Medical Consumables</t>
        </is>
      </c>
      <c r="D12" s="23" t="n">
        <v>2559</v>
      </c>
      <c r="E12" s="23" t="n">
        <v>1637760</v>
      </c>
      <c r="F12" s="23" t="n">
        <v>2014</v>
      </c>
      <c r="G12" s="23" t="n">
        <v>116</v>
      </c>
      <c r="H12" s="23" t="n">
        <v>0</v>
      </c>
      <c r="I12" s="23" t="n">
        <v>0</v>
      </c>
      <c r="J12" s="22" t="inlineStr">
        <is>
          <t>Adequate</t>
        </is>
      </c>
    </row>
    <row r="13">
      <c r="A13" s="22" t="inlineStr">
        <is>
          <t>NUT-0002</t>
        </is>
      </c>
      <c r="B13" s="22" t="inlineStr">
        <is>
          <t>F-75 Therapeutic Milk 400 g</t>
        </is>
      </c>
      <c r="C13" s="22" t="inlineStr">
        <is>
          <t>Nutrition</t>
        </is>
      </c>
      <c r="D13" s="23" t="n">
        <v>1896</v>
      </c>
      <c r="E13" s="23" t="n">
        <v>1308240</v>
      </c>
      <c r="F13" s="23" t="n">
        <v>1656</v>
      </c>
      <c r="G13" s="23" t="n">
        <v>104</v>
      </c>
      <c r="H13" s="23" t="n">
        <v>0</v>
      </c>
      <c r="I13" s="23" t="n">
        <v>0</v>
      </c>
      <c r="J13" s="22" t="inlineStr">
        <is>
          <t>Adequate</t>
        </is>
      </c>
    </row>
    <row r="14">
      <c r="A14" s="22" t="inlineStr">
        <is>
          <t>NUT-0004</t>
        </is>
      </c>
      <c r="B14" s="22" t="inlineStr">
        <is>
          <t>Ready-to-Use Supplementary Food (RUSF)</t>
        </is>
      </c>
      <c r="C14" s="22" t="inlineStr">
        <is>
          <t>Nutrition</t>
        </is>
      </c>
      <c r="D14" s="23" t="n">
        <v>7950</v>
      </c>
      <c r="E14" s="23" t="n">
        <v>1152750</v>
      </c>
      <c r="F14" s="23" t="n">
        <v>9000</v>
      </c>
      <c r="G14" s="23" t="n">
        <v>80</v>
      </c>
      <c r="H14" s="23" t="n">
        <v>0</v>
      </c>
      <c r="I14" s="23" t="n">
        <v>0</v>
      </c>
      <c r="J14" s="22" t="inlineStr">
        <is>
          <t>Adequate</t>
        </is>
      </c>
    </row>
    <row r="15">
      <c r="A15" s="22" t="inlineStr">
        <is>
          <t>CON-0004</t>
        </is>
      </c>
      <c r="B15" s="22" t="inlineStr">
        <is>
          <t>Disposable Syringe 10 ml with Needle</t>
        </is>
      </c>
      <c r="C15" s="22" t="inlineStr">
        <is>
          <t>Medical Consumables</t>
        </is>
      </c>
      <c r="D15" s="23" t="n">
        <v>39800</v>
      </c>
      <c r="E15" s="23" t="n">
        <v>1074600</v>
      </c>
      <c r="F15" s="23" t="n">
        <v>35000</v>
      </c>
      <c r="G15" s="23" t="n">
        <v>103</v>
      </c>
      <c r="H15" s="23" t="n">
        <v>0</v>
      </c>
      <c r="I15" s="23" t="n">
        <v>0</v>
      </c>
      <c r="J15" s="22" t="inlineStr">
        <is>
          <t>Adequate</t>
        </is>
      </c>
    </row>
    <row r="16">
      <c r="A16" s="22" t="inlineStr">
        <is>
          <t>NUT-0007</t>
        </is>
      </c>
      <c r="B16" s="22" t="inlineStr">
        <is>
          <t>Infant Formula, Therapeutic (Lactogen-free)</t>
        </is>
      </c>
      <c r="C16" s="22" t="inlineStr">
        <is>
          <t>Nutrition</t>
        </is>
      </c>
      <c r="D16" s="23" t="n">
        <v>864</v>
      </c>
      <c r="E16" s="23" t="n">
        <v>1071360</v>
      </c>
      <c r="F16" s="23" t="n">
        <v>516</v>
      </c>
      <c r="G16" s="23" t="n">
        <v>152</v>
      </c>
      <c r="H16" s="23" t="n">
        <v>78883.2</v>
      </c>
      <c r="I16" s="23" t="n">
        <v>60</v>
      </c>
      <c r="J16" s="22" t="inlineStr">
        <is>
          <t>Adequate</t>
        </is>
      </c>
    </row>
    <row r="17">
      <c r="A17" s="22" t="inlineStr">
        <is>
          <t>NUT-0005</t>
        </is>
      </c>
      <c r="B17" s="22" t="inlineStr">
        <is>
          <t>Multiple Micronutrient Powder</t>
        </is>
      </c>
      <c r="C17" s="22" t="inlineStr">
        <is>
          <t>Nutrition</t>
        </is>
      </c>
      <c r="D17" s="23" t="n">
        <v>15630</v>
      </c>
      <c r="E17" s="23" t="n">
        <v>906540</v>
      </c>
      <c r="F17" s="23" t="n">
        <v>22590</v>
      </c>
      <c r="G17" s="23" t="n">
        <v>63</v>
      </c>
      <c r="H17" s="23" t="n">
        <v>0</v>
      </c>
      <c r="I17" s="23" t="n">
        <v>0</v>
      </c>
      <c r="J17" s="22" t="inlineStr">
        <is>
          <t>Adequate</t>
        </is>
      </c>
    </row>
    <row r="18">
      <c r="A18" s="22" t="inlineStr">
        <is>
          <t>MED-0009</t>
        </is>
      </c>
      <c r="B18" s="22" t="inlineStr">
        <is>
          <t>Normal Saline 0.9% 500 ml</t>
        </is>
      </c>
      <c r="C18" s="22" t="inlineStr">
        <is>
          <t>Medicines</t>
        </is>
      </c>
      <c r="D18" s="23" t="n">
        <v>7240</v>
      </c>
      <c r="E18" s="23" t="n">
        <v>854320</v>
      </c>
      <c r="F18" s="23" t="n">
        <v>5480</v>
      </c>
      <c r="G18" s="23" t="n">
        <v>120</v>
      </c>
      <c r="H18" s="23" t="n">
        <v>0</v>
      </c>
      <c r="I18" s="23" t="n">
        <v>0</v>
      </c>
      <c r="J18" s="22" t="inlineStr">
        <is>
          <t>Adequate</t>
        </is>
      </c>
    </row>
    <row r="19">
      <c r="A19" s="22" t="inlineStr">
        <is>
          <t>CON-0008</t>
        </is>
      </c>
      <c r="B19" s="22" t="inlineStr">
        <is>
          <t>Gauze Piece Sterile 10x10 cm</t>
        </is>
      </c>
      <c r="C19" s="22" t="inlineStr">
        <is>
          <t>Medical Consumables</t>
        </is>
      </c>
      <c r="D19" s="23" t="n">
        <v>85900</v>
      </c>
      <c r="E19" s="23" t="n">
        <v>841820</v>
      </c>
      <c r="F19" s="23" t="n">
        <v>66500</v>
      </c>
      <c r="G19" s="23" t="n">
        <v>118</v>
      </c>
      <c r="H19" s="23" t="n">
        <v>0</v>
      </c>
      <c r="I19" s="23" t="n">
        <v>0</v>
      </c>
      <c r="J19" s="22" t="inlineStr">
        <is>
          <t>Adequate</t>
        </is>
      </c>
    </row>
    <row r="20">
      <c r="A20" s="22" t="inlineStr">
        <is>
          <t>MED-0010</t>
        </is>
      </c>
      <c r="B20" s="22" t="inlineStr">
        <is>
          <t>Ringer's Lactate 500 ml</t>
        </is>
      </c>
      <c r="C20" s="22" t="inlineStr">
        <is>
          <t>Medicines</t>
        </is>
      </c>
      <c r="D20" s="23" t="n">
        <v>6000</v>
      </c>
      <c r="E20" s="23" t="n">
        <v>792000</v>
      </c>
      <c r="F20" s="23" t="n">
        <v>4400</v>
      </c>
      <c r="G20" s="23" t="n">
        <v>124</v>
      </c>
      <c r="H20" s="23" t="n">
        <v>110521.4</v>
      </c>
      <c r="I20" s="23" t="n">
        <v>700</v>
      </c>
      <c r="J20" s="22" t="inlineStr">
        <is>
          <t>Adequate</t>
        </is>
      </c>
    </row>
    <row r="21">
      <c r="A21" s="22" t="inlineStr">
        <is>
          <t>MED-0012</t>
        </is>
      </c>
      <c r="B21" s="22" t="inlineStr">
        <is>
          <t>Tetanus Toxoid Vaccine 0.5 ml</t>
        </is>
      </c>
      <c r="C21" s="22" t="inlineStr">
        <is>
          <t>Medicines</t>
        </is>
      </c>
      <c r="D21" s="23" t="n">
        <v>7910</v>
      </c>
      <c r="E21" s="23" t="n">
        <v>759360</v>
      </c>
      <c r="F21" s="23" t="n">
        <v>4870</v>
      </c>
      <c r="G21" s="23" t="n">
        <v>148</v>
      </c>
      <c r="H21" s="23" t="n">
        <v>3129.9</v>
      </c>
      <c r="I21" s="23" t="n">
        <v>30</v>
      </c>
      <c r="J21" s="22" t="inlineStr">
        <is>
          <t>Adequate</t>
        </is>
      </c>
    </row>
    <row r="22">
      <c r="A22" s="22" t="inlineStr">
        <is>
          <t>LAB-0002</t>
        </is>
      </c>
      <c r="B22" s="22" t="inlineStr">
        <is>
          <t>Rapid Diagnostic Test - Malaria</t>
        </is>
      </c>
      <c r="C22" s="22" t="inlineStr">
        <is>
          <t>Laboratory</t>
        </is>
      </c>
      <c r="D22" s="23" t="n">
        <v>4950</v>
      </c>
      <c r="E22" s="23" t="n">
        <v>732600</v>
      </c>
      <c r="F22" s="23" t="n">
        <v>4850</v>
      </c>
      <c r="G22" s="23" t="n">
        <v>93</v>
      </c>
      <c r="H22" s="23" t="n">
        <v>40591.25</v>
      </c>
      <c r="I22" s="23" t="n">
        <v>250</v>
      </c>
      <c r="J22" s="22" t="inlineStr">
        <is>
          <t>Adequate</t>
        </is>
      </c>
    </row>
    <row r="23">
      <c r="A23" s="22" t="inlineStr">
        <is>
          <t>LAB-0004</t>
        </is>
      </c>
      <c r="B23" s="22" t="inlineStr">
        <is>
          <t>Rapid Diagnostic Test - Hepatitis C</t>
        </is>
      </c>
      <c r="C23" s="22" t="inlineStr">
        <is>
          <t>Laboratory</t>
        </is>
      </c>
      <c r="D23" s="23" t="n">
        <v>3750</v>
      </c>
      <c r="E23" s="23" t="n">
        <v>705000</v>
      </c>
      <c r="F23" s="23" t="n">
        <v>2275</v>
      </c>
      <c r="G23" s="23" t="n">
        <v>150</v>
      </c>
      <c r="H23" s="23" t="n">
        <v>52384.75</v>
      </c>
      <c r="I23" s="23" t="n">
        <v>250</v>
      </c>
      <c r="J23" s="22" t="inlineStr">
        <is>
          <t>Adequate</t>
        </is>
      </c>
    </row>
    <row r="24">
      <c r="A24" s="22" t="inlineStr">
        <is>
          <t>MED-0025</t>
        </is>
      </c>
      <c r="B24" s="22" t="inlineStr">
        <is>
          <t>Salbutamol Inhaler 100 mcg</t>
        </is>
      </c>
      <c r="C24" s="22" t="inlineStr">
        <is>
          <t>Medicines</t>
        </is>
      </c>
      <c r="D24" s="23" t="n">
        <v>2599</v>
      </c>
      <c r="E24" s="23" t="n">
        <v>696532</v>
      </c>
      <c r="F24" s="23" t="n">
        <v>2203</v>
      </c>
      <c r="G24" s="23" t="n">
        <v>107</v>
      </c>
      <c r="H24" s="23" t="n">
        <v>0</v>
      </c>
      <c r="I24" s="23" t="n">
        <v>0</v>
      </c>
      <c r="J24" s="22" t="inlineStr">
        <is>
          <t>Adequate</t>
        </is>
      </c>
    </row>
    <row r="25">
      <c r="A25" s="22" t="inlineStr">
        <is>
          <t>CON-0019</t>
        </is>
      </c>
      <c r="B25" s="22" t="inlineStr">
        <is>
          <t>Hand Sanitiser 500 ml</t>
        </is>
      </c>
      <c r="C25" s="22" t="inlineStr">
        <is>
          <t>Medical Consumables</t>
        </is>
      </c>
      <c r="D25" s="23" t="n">
        <v>1776</v>
      </c>
      <c r="E25" s="23" t="n">
        <v>683760</v>
      </c>
      <c r="F25" s="23" t="n">
        <v>1656</v>
      </c>
      <c r="G25" s="23" t="n">
        <v>98</v>
      </c>
      <c r="H25" s="23" t="n">
        <v>0</v>
      </c>
      <c r="I25" s="23" t="n">
        <v>0</v>
      </c>
      <c r="J25" s="22" t="inlineStr">
        <is>
          <t>Adequate</t>
        </is>
      </c>
    </row>
    <row r="26">
      <c r="A26" s="22" t="inlineStr">
        <is>
          <t>MED-0004</t>
        </is>
      </c>
      <c r="B26" s="22" t="inlineStr">
        <is>
          <t>Ceftriaxone 1 g Injection</t>
        </is>
      </c>
      <c r="C26" s="22" t="inlineStr">
        <is>
          <t>Medicines</t>
        </is>
      </c>
      <c r="D26" s="23" t="n">
        <v>6600</v>
      </c>
      <c r="E26" s="23" t="n">
        <v>633600</v>
      </c>
      <c r="F26" s="23" t="n">
        <v>6680</v>
      </c>
      <c r="G26" s="23" t="n">
        <v>90</v>
      </c>
      <c r="H26" s="23" t="n">
        <v>7538.25</v>
      </c>
      <c r="I26" s="23" t="n">
        <v>72</v>
      </c>
      <c r="J26" s="22" t="inlineStr">
        <is>
          <t>Adequate</t>
        </is>
      </c>
    </row>
    <row r="27">
      <c r="A27" s="22" t="inlineStr">
        <is>
          <t>MED-0034</t>
        </is>
      </c>
      <c r="B27" s="22" t="inlineStr">
        <is>
          <t>Tenofovir + Emtricitabine 300/200 mg</t>
        </is>
      </c>
      <c r="C27" s="22" t="inlineStr">
        <is>
          <t>Medicines</t>
        </is>
      </c>
      <c r="D27" s="23" t="n">
        <v>690</v>
      </c>
      <c r="E27" s="23" t="n">
        <v>614100</v>
      </c>
      <c r="F27" s="23" t="n">
        <v>870</v>
      </c>
      <c r="G27" s="23" t="n">
        <v>72</v>
      </c>
      <c r="H27" s="23" t="n">
        <v>27476.7</v>
      </c>
      <c r="I27" s="23" t="n">
        <v>30</v>
      </c>
      <c r="J27" s="22" t="inlineStr">
        <is>
          <t>Adequate</t>
        </is>
      </c>
    </row>
    <row r="28">
      <c r="A28" s="22" t="inlineStr">
        <is>
          <t>MED-0011</t>
        </is>
      </c>
      <c r="B28" s="22" t="inlineStr">
        <is>
          <t>Dextrose 5% 500 ml</t>
        </is>
      </c>
      <c r="C28" s="22" t="inlineStr">
        <is>
          <t>Medicines</t>
        </is>
      </c>
      <c r="D28" s="23" t="n">
        <v>4860</v>
      </c>
      <c r="E28" s="23" t="n">
        <v>602640</v>
      </c>
      <c r="F28" s="23" t="n">
        <v>3720</v>
      </c>
      <c r="G28" s="23" t="n">
        <v>119</v>
      </c>
      <c r="H28" s="23" t="n">
        <v>59664</v>
      </c>
      <c r="I28" s="23" t="n">
        <v>400</v>
      </c>
      <c r="J28" s="22" t="inlineStr">
        <is>
          <t>Adequate</t>
        </is>
      </c>
    </row>
    <row r="29">
      <c r="A29" s="22" t="inlineStr">
        <is>
          <t>MED-0030</t>
        </is>
      </c>
      <c r="B29" s="22" t="inlineStr">
        <is>
          <t>Insulin Regular 100 IU/ml</t>
        </is>
      </c>
      <c r="C29" s="22" t="inlineStr">
        <is>
          <t>Medicines</t>
        </is>
      </c>
      <c r="D29" s="23" t="n">
        <v>1050</v>
      </c>
      <c r="E29" s="23" t="n">
        <v>567000</v>
      </c>
      <c r="F29" s="23" t="n">
        <v>1431</v>
      </c>
      <c r="G29" s="23" t="n">
        <v>67</v>
      </c>
      <c r="H29" s="23" t="n">
        <v>30390.23</v>
      </c>
      <c r="I29" s="23" t="n">
        <v>53</v>
      </c>
      <c r="J29" s="22" t="inlineStr">
        <is>
          <t>Adequate</t>
        </is>
      </c>
    </row>
    <row r="30">
      <c r="A30" s="22" t="inlineStr">
        <is>
          <t>NUT-0006</t>
        </is>
      </c>
      <c r="B30" s="22" t="inlineStr">
        <is>
          <t>Therapeutic Zinc + ORS Combo Pack</t>
        </is>
      </c>
      <c r="C30" s="22" t="inlineStr">
        <is>
          <t>Nutrition</t>
        </is>
      </c>
      <c r="D30" s="23" t="n">
        <v>5600</v>
      </c>
      <c r="E30" s="23" t="n">
        <v>537600</v>
      </c>
      <c r="F30" s="23" t="n">
        <v>6660</v>
      </c>
      <c r="G30" s="23" t="n">
        <v>77</v>
      </c>
      <c r="H30" s="23" t="n">
        <v>0</v>
      </c>
      <c r="I30" s="23" t="n">
        <v>0</v>
      </c>
      <c r="J30" s="22" t="inlineStr">
        <is>
          <t>Adequate</t>
        </is>
      </c>
    </row>
    <row r="31">
      <c r="A31" s="22" t="inlineStr">
        <is>
          <t>CON-0011</t>
        </is>
      </c>
      <c r="B31" s="22" t="inlineStr">
        <is>
          <t>Nitrile Examination Gloves (Box 100)</t>
        </is>
      </c>
      <c r="C31" s="22" t="inlineStr">
        <is>
          <t>Medical Consumables</t>
        </is>
      </c>
      <c r="D31" s="23" t="n">
        <v>401</v>
      </c>
      <c r="E31" s="23" t="n">
        <v>513280</v>
      </c>
      <c r="F31" s="23" t="n">
        <v>353</v>
      </c>
      <c r="G31" s="23" t="n">
        <v>103</v>
      </c>
      <c r="H31" s="23" t="n">
        <v>0</v>
      </c>
      <c r="I31" s="23" t="n">
        <v>0</v>
      </c>
      <c r="J31" s="22" t="inlineStr">
        <is>
          <t>Adequate</t>
        </is>
      </c>
    </row>
    <row r="32">
      <c r="A32" s="22" t="inlineStr">
        <is>
          <t>CON-0010</t>
        </is>
      </c>
      <c r="B32" s="22" t="inlineStr">
        <is>
          <t>Surgical Face Mask, 3-ply</t>
        </is>
      </c>
      <c r="C32" s="22" t="inlineStr">
        <is>
          <t>Medical Consumables</t>
        </is>
      </c>
      <c r="D32" s="23" t="n">
        <v>62000</v>
      </c>
      <c r="E32" s="23" t="n">
        <v>446400</v>
      </c>
      <c r="F32" s="23" t="n">
        <v>55100</v>
      </c>
      <c r="G32" s="23" t="n">
        <v>102</v>
      </c>
      <c r="H32" s="23" t="n">
        <v>0</v>
      </c>
      <c r="I32" s="23" t="n">
        <v>0</v>
      </c>
      <c r="J32" s="22" t="inlineStr">
        <is>
          <t>Adequate</t>
        </is>
      </c>
    </row>
    <row r="33">
      <c r="A33" s="22" t="inlineStr">
        <is>
          <t>CON-0002</t>
        </is>
      </c>
      <c r="B33" s="22" t="inlineStr">
        <is>
          <t>Surgical Gloves, Sterile 7.5 (Pair)</t>
        </is>
      </c>
      <c r="C33" s="22" t="inlineStr">
        <is>
          <t>Medical Consumables</t>
        </is>
      </c>
      <c r="D33" s="23" t="n">
        <v>7100</v>
      </c>
      <c r="E33" s="23" t="n">
        <v>440200</v>
      </c>
      <c r="F33" s="23" t="n">
        <v>8850</v>
      </c>
      <c r="G33" s="23" t="n">
        <v>73</v>
      </c>
      <c r="H33" s="23" t="n">
        <v>0</v>
      </c>
      <c r="I33" s="23" t="n">
        <v>0</v>
      </c>
      <c r="J33" s="22" t="inlineStr">
        <is>
          <t>Adequate</t>
        </is>
      </c>
    </row>
    <row r="34">
      <c r="A34" s="22" t="inlineStr">
        <is>
          <t>LAB-0003</t>
        </is>
      </c>
      <c r="B34" s="22" t="inlineStr">
        <is>
          <t>Rapid Diagnostic Test - Hepatitis B</t>
        </is>
      </c>
      <c r="C34" s="22" t="inlineStr">
        <is>
          <t>Laboratory</t>
        </is>
      </c>
      <c r="D34" s="23" t="n">
        <v>2475</v>
      </c>
      <c r="E34" s="23" t="n">
        <v>425700</v>
      </c>
      <c r="F34" s="23" t="n">
        <v>3000</v>
      </c>
      <c r="G34" s="23" t="n">
        <v>75</v>
      </c>
      <c r="H34" s="23" t="n">
        <v>37319.25</v>
      </c>
      <c r="I34" s="23" t="n">
        <v>200</v>
      </c>
      <c r="J34" s="22" t="inlineStr">
        <is>
          <t>Adequate</t>
        </is>
      </c>
    </row>
    <row r="35">
      <c r="A35" s="22" t="inlineStr">
        <is>
          <t>GEN-0006</t>
        </is>
      </c>
      <c r="B35" s="22" t="inlineStr">
        <is>
          <t>Biohazard Waste Bag (Pack 50)</t>
        </is>
      </c>
      <c r="C35" s="22" t="inlineStr">
        <is>
          <t>General Items</t>
        </is>
      </c>
      <c r="D35" s="23" t="n">
        <v>693</v>
      </c>
      <c r="E35" s="23" t="n">
        <v>388080</v>
      </c>
      <c r="F35" s="23" t="n">
        <v>318</v>
      </c>
      <c r="G35" s="23" t="n">
        <v>198</v>
      </c>
      <c r="H35" s="23" t="n">
        <v>0</v>
      </c>
      <c r="I35" s="23" t="n">
        <v>0</v>
      </c>
      <c r="J35" s="22" t="inlineStr">
        <is>
          <t>Adequate</t>
        </is>
      </c>
    </row>
    <row r="36">
      <c r="A36" s="22" t="inlineStr">
        <is>
          <t>LAB-0001</t>
        </is>
      </c>
      <c r="B36" s="22" t="inlineStr">
        <is>
          <t>Hemoglobin Reagent (Cyanmethemoglobin)</t>
        </is>
      </c>
      <c r="C36" s="22" t="inlineStr">
        <is>
          <t>Laboratory</t>
        </is>
      </c>
      <c r="D36" s="23" t="n">
        <v>76</v>
      </c>
      <c r="E36" s="23" t="n">
        <v>368600</v>
      </c>
      <c r="F36" s="23" t="n">
        <v>70</v>
      </c>
      <c r="G36" s="23" t="n">
        <v>99</v>
      </c>
      <c r="H36" s="23" t="n">
        <v>46048.07</v>
      </c>
      <c r="I36" s="23" t="n">
        <v>9</v>
      </c>
      <c r="J36" s="22" t="inlineStr">
        <is>
          <t>Adequate</t>
        </is>
      </c>
    </row>
    <row r="37">
      <c r="A37" s="22" t="inlineStr">
        <is>
          <t>GEN-0007</t>
        </is>
      </c>
      <c r="B37" s="22" t="inlineStr">
        <is>
          <t>Printed IEC Material (Booklet)</t>
        </is>
      </c>
      <c r="C37" s="22" t="inlineStr">
        <is>
          <t>General Items</t>
        </is>
      </c>
      <c r="D37" s="23" t="n">
        <v>8800</v>
      </c>
      <c r="E37" s="23" t="n">
        <v>334400</v>
      </c>
      <c r="F37" s="23" t="n">
        <v>7600</v>
      </c>
      <c r="G37" s="23" t="n">
        <v>105</v>
      </c>
      <c r="H37" s="23" t="n">
        <v>0</v>
      </c>
      <c r="I37" s="23" t="n">
        <v>0</v>
      </c>
      <c r="J37" s="22" t="inlineStr">
        <is>
          <t>Adequate</t>
        </is>
      </c>
    </row>
    <row r="38">
      <c r="A38" s="22" t="inlineStr">
        <is>
          <t>CON-0009</t>
        </is>
      </c>
      <c r="B38" s="22" t="inlineStr">
        <is>
          <t>Adhesive Bandage 10 cm x 4 m</t>
        </is>
      </c>
      <c r="C38" s="22" t="inlineStr">
        <is>
          <t>Medical Consumables</t>
        </is>
      </c>
      <c r="D38" s="23" t="n">
        <v>3480</v>
      </c>
      <c r="E38" s="23" t="n">
        <v>334080</v>
      </c>
      <c r="F38" s="23" t="n">
        <v>3288</v>
      </c>
      <c r="G38" s="23" t="n">
        <v>96</v>
      </c>
      <c r="H38" s="23" t="n">
        <v>0</v>
      </c>
      <c r="I38" s="23" t="n">
        <v>0</v>
      </c>
      <c r="J38" s="22" t="inlineStr">
        <is>
          <t>Adequate</t>
        </is>
      </c>
    </row>
    <row r="39">
      <c r="A39" s="22" t="inlineStr">
        <is>
          <t>GEN-0005</t>
        </is>
      </c>
      <c r="B39" s="22" t="inlineStr">
        <is>
          <t>Sharps Disposal Container 5 L</t>
        </is>
      </c>
      <c r="C39" s="22" t="inlineStr">
        <is>
          <t>General Items</t>
        </is>
      </c>
      <c r="D39" s="23" t="n">
        <v>764</v>
      </c>
      <c r="E39" s="23" t="n">
        <v>320880</v>
      </c>
      <c r="F39" s="23" t="n">
        <v>550</v>
      </c>
      <c r="G39" s="23" t="n">
        <v>126</v>
      </c>
      <c r="H39" s="23" t="n">
        <v>0</v>
      </c>
      <c r="I39" s="23" t="n">
        <v>0</v>
      </c>
      <c r="J39" s="22" t="inlineStr">
        <is>
          <t>Adequate</t>
        </is>
      </c>
    </row>
    <row r="40">
      <c r="A40" s="22" t="inlineStr">
        <is>
          <t>MED-0019</t>
        </is>
      </c>
      <c r="B40" s="22" t="inlineStr">
        <is>
          <t>Rifampicin + Isoniazid 150/75 mg</t>
        </is>
      </c>
      <c r="C40" s="22" t="inlineStr">
        <is>
          <t>Medicines</t>
        </is>
      </c>
      <c r="D40" s="23" t="n">
        <v>16128</v>
      </c>
      <c r="E40" s="23" t="n">
        <v>299980.8</v>
      </c>
      <c r="F40" s="23" t="n">
        <v>16128</v>
      </c>
      <c r="G40" s="23" t="n">
        <v>91</v>
      </c>
      <c r="H40" s="23" t="n">
        <v>13265.28</v>
      </c>
      <c r="I40" s="23" t="n">
        <v>672</v>
      </c>
      <c r="J40" s="22" t="inlineStr">
        <is>
          <t>Adequate</t>
        </is>
      </c>
    </row>
    <row r="41">
      <c r="A41" s="22" t="inlineStr">
        <is>
          <t>MED-0024</t>
        </is>
      </c>
      <c r="B41" s="22" t="inlineStr">
        <is>
          <t>Artemether + Lumefantrine 20/120 mg</t>
        </is>
      </c>
      <c r="C41" s="22" t="inlineStr">
        <is>
          <t>Medicines</t>
        </is>
      </c>
      <c r="D41" s="23" t="n">
        <v>2460</v>
      </c>
      <c r="E41" s="23" t="n">
        <v>290280</v>
      </c>
      <c r="F41" s="23" t="n">
        <v>3240</v>
      </c>
      <c r="G41" s="23" t="n">
        <v>69</v>
      </c>
      <c r="H41" s="23" t="n">
        <v>0</v>
      </c>
      <c r="I41" s="23" t="n">
        <v>0</v>
      </c>
      <c r="J41" s="22" t="inlineStr">
        <is>
          <t>Adequate</t>
        </is>
      </c>
    </row>
    <row r="42">
      <c r="A42" s="22" t="inlineStr">
        <is>
          <t>CON-0007</t>
        </is>
      </c>
      <c r="B42" s="22" t="inlineStr">
        <is>
          <t>Cotton Wool Roll 500 g</t>
        </is>
      </c>
      <c r="C42" s="22" t="inlineStr">
        <is>
          <t>Medical Consumables</t>
        </is>
      </c>
      <c r="D42" s="23" t="n">
        <v>1170</v>
      </c>
      <c r="E42" s="23" t="n">
        <v>286650</v>
      </c>
      <c r="F42" s="23" t="n">
        <v>1190</v>
      </c>
      <c r="G42" s="23" t="n">
        <v>89</v>
      </c>
      <c r="H42" s="23" t="n">
        <v>0</v>
      </c>
      <c r="I42" s="23" t="n">
        <v>0</v>
      </c>
      <c r="J42" s="22" t="inlineStr">
        <is>
          <t>Adequate</t>
        </is>
      </c>
    </row>
    <row r="43">
      <c r="A43" s="22" t="inlineStr">
        <is>
          <t>LAB-0006</t>
        </is>
      </c>
      <c r="B43" s="22" t="inlineStr">
        <is>
          <t>Blood Collection Tube EDTA 4 ml</t>
        </is>
      </c>
      <c r="C43" s="22" t="inlineStr">
        <is>
          <t>Laboratory</t>
        </is>
      </c>
      <c r="D43" s="23" t="n">
        <v>10400</v>
      </c>
      <c r="E43" s="23" t="n">
        <v>286000</v>
      </c>
      <c r="F43" s="23" t="n">
        <v>10300</v>
      </c>
      <c r="G43" s="23" t="n">
        <v>92</v>
      </c>
      <c r="H43" s="23" t="n">
        <v>0</v>
      </c>
      <c r="I43" s="23" t="n">
        <v>0</v>
      </c>
      <c r="J43" s="22" t="inlineStr">
        <is>
          <t>Adequate</t>
        </is>
      </c>
    </row>
    <row r="44">
      <c r="A44" s="22" t="inlineStr">
        <is>
          <t>CON-0006</t>
        </is>
      </c>
      <c r="B44" s="22" t="inlineStr">
        <is>
          <t>IV Giving Set</t>
        </is>
      </c>
      <c r="C44" s="22" t="inlineStr">
        <is>
          <t>Medical Consumables</t>
        </is>
      </c>
      <c r="D44" s="23" t="n">
        <v>3200</v>
      </c>
      <c r="E44" s="23" t="n">
        <v>268800</v>
      </c>
      <c r="F44" s="23" t="n">
        <v>3900</v>
      </c>
      <c r="G44" s="23" t="n">
        <v>75</v>
      </c>
      <c r="H44" s="23" t="n">
        <v>0</v>
      </c>
      <c r="I44" s="23" t="n">
        <v>0</v>
      </c>
      <c r="J44" s="22" t="inlineStr">
        <is>
          <t>Adequate</t>
        </is>
      </c>
    </row>
    <row r="45">
      <c r="A45" s="22" t="inlineStr">
        <is>
          <t>CON-0020</t>
        </is>
      </c>
      <c r="B45" s="22" t="inlineStr">
        <is>
          <t>Sputum Collection Container</t>
        </is>
      </c>
      <c r="C45" s="22" t="inlineStr">
        <is>
          <t>Medical Consumables</t>
        </is>
      </c>
      <c r="D45" s="23" t="n">
        <v>10000</v>
      </c>
      <c r="E45" s="23" t="n">
        <v>260000</v>
      </c>
      <c r="F45" s="23" t="n">
        <v>11200</v>
      </c>
      <c r="G45" s="23" t="n">
        <v>81</v>
      </c>
      <c r="H45" s="23" t="n">
        <v>0</v>
      </c>
      <c r="I45" s="23" t="n">
        <v>0</v>
      </c>
      <c r="J45" s="22" t="inlineStr">
        <is>
          <t>Adequate</t>
        </is>
      </c>
    </row>
    <row r="46">
      <c r="A46" s="22" t="inlineStr">
        <is>
          <t>CON-0013</t>
        </is>
      </c>
      <c r="B46" s="22" t="inlineStr">
        <is>
          <t>Povidone Iodine 10% 100 ml</t>
        </is>
      </c>
      <c r="C46" s="22" t="inlineStr">
        <is>
          <t>Medical Consumables</t>
        </is>
      </c>
      <c r="D46" s="23" t="n">
        <v>1524</v>
      </c>
      <c r="E46" s="23" t="n">
        <v>256032</v>
      </c>
      <c r="F46" s="23" t="n">
        <v>2100</v>
      </c>
      <c r="G46" s="23" t="n">
        <v>66</v>
      </c>
      <c r="H46" s="23" t="n">
        <v>0</v>
      </c>
      <c r="I46" s="23" t="n">
        <v>0</v>
      </c>
      <c r="J46" s="22" t="inlineStr">
        <is>
          <t>Adequate</t>
        </is>
      </c>
    </row>
    <row r="47">
      <c r="A47" s="22" t="inlineStr">
        <is>
          <t>MED-0002</t>
        </is>
      </c>
      <c r="B47" s="22" t="inlineStr">
        <is>
          <t>Amoxicillin 250 mg Capsule</t>
        </is>
      </c>
      <c r="C47" s="22" t="inlineStr">
        <is>
          <t>Medicines</t>
        </is>
      </c>
      <c r="D47" s="23" t="n">
        <v>60000</v>
      </c>
      <c r="E47" s="23" t="n">
        <v>252000</v>
      </c>
      <c r="F47" s="23" t="n">
        <v>71000</v>
      </c>
      <c r="G47" s="23" t="n">
        <v>77</v>
      </c>
      <c r="H47" s="23" t="n">
        <v>0</v>
      </c>
      <c r="I47" s="23" t="n">
        <v>0</v>
      </c>
      <c r="J47" s="22" t="inlineStr">
        <is>
          <t>Adequate</t>
        </is>
      </c>
    </row>
    <row r="48">
      <c r="A48" s="22" t="inlineStr">
        <is>
          <t>GEN-0003</t>
        </is>
      </c>
      <c r="B48" s="22" t="inlineStr">
        <is>
          <t>A4 Paper Ream 80 gsm</t>
        </is>
      </c>
      <c r="C48" s="22" t="inlineStr">
        <is>
          <t>General Items</t>
        </is>
      </c>
      <c r="D48" s="23" t="n">
        <v>145</v>
      </c>
      <c r="E48" s="23" t="n">
        <v>239250</v>
      </c>
      <c r="F48" s="23" t="n">
        <v>75</v>
      </c>
      <c r="G48" s="23" t="n">
        <v>176</v>
      </c>
      <c r="H48" s="23" t="n">
        <v>0</v>
      </c>
      <c r="I48" s="23" t="n">
        <v>0</v>
      </c>
      <c r="J48" s="22" t="inlineStr">
        <is>
          <t>Adequate</t>
        </is>
      </c>
    </row>
    <row r="49">
      <c r="A49" s="22" t="inlineStr">
        <is>
          <t>CON-0016</t>
        </is>
      </c>
      <c r="B49" s="22" t="inlineStr">
        <is>
          <t>Umbilical Cord Clamp</t>
        </is>
      </c>
      <c r="C49" s="22" t="inlineStr">
        <is>
          <t>Medical Consumables</t>
        </is>
      </c>
      <c r="D49" s="23" t="n">
        <v>19300</v>
      </c>
      <c r="E49" s="23" t="n">
        <v>221950</v>
      </c>
      <c r="F49" s="23" t="n">
        <v>16500</v>
      </c>
      <c r="G49" s="23" t="n">
        <v>106</v>
      </c>
      <c r="H49" s="23" t="n">
        <v>0</v>
      </c>
      <c r="I49" s="23" t="n">
        <v>0</v>
      </c>
      <c r="J49" s="22" t="inlineStr">
        <is>
          <t>Adequate</t>
        </is>
      </c>
    </row>
    <row r="50">
      <c r="A50" s="22" t="inlineStr">
        <is>
          <t>CON-0014</t>
        </is>
      </c>
      <c r="B50" s="22" t="inlineStr">
        <is>
          <t>Urine Collection Bag 2000 ml</t>
        </is>
      </c>
      <c r="C50" s="22" t="inlineStr">
        <is>
          <t>Medical Consumables</t>
        </is>
      </c>
      <c r="D50" s="23" t="n">
        <v>2675</v>
      </c>
      <c r="E50" s="23" t="n">
        <v>208650</v>
      </c>
      <c r="F50" s="23" t="n">
        <v>2400</v>
      </c>
      <c r="G50" s="23" t="n">
        <v>101</v>
      </c>
      <c r="H50" s="23" t="n">
        <v>32739</v>
      </c>
      <c r="I50" s="23" t="n">
        <v>350</v>
      </c>
      <c r="J50" s="22" t="inlineStr">
        <is>
          <t>Adequate</t>
        </is>
      </c>
    </row>
    <row r="51">
      <c r="A51" s="22" t="inlineStr">
        <is>
          <t>CON-0017</t>
        </is>
      </c>
      <c r="B51" s="22" t="inlineStr">
        <is>
          <t>Suture Polyglactin 2-0</t>
        </is>
      </c>
      <c r="C51" s="22" t="inlineStr">
        <is>
          <t>Medical Consumables</t>
        </is>
      </c>
      <c r="D51" s="23" t="n">
        <v>648</v>
      </c>
      <c r="E51" s="23" t="n">
        <v>200880</v>
      </c>
      <c r="F51" s="23" t="n">
        <v>1020</v>
      </c>
      <c r="G51" s="23" t="n">
        <v>58</v>
      </c>
      <c r="H51" s="23" t="n">
        <v>0</v>
      </c>
      <c r="I51" s="23" t="n">
        <v>0</v>
      </c>
      <c r="J51" s="22" t="inlineStr">
        <is>
          <t>Adequate</t>
        </is>
      </c>
    </row>
    <row r="52">
      <c r="A52" s="22" t="inlineStr">
        <is>
          <t>CON-0018</t>
        </is>
      </c>
      <c r="B52" s="22" t="inlineStr">
        <is>
          <t>Blood Transfusion Set</t>
        </is>
      </c>
      <c r="C52" s="22" t="inlineStr">
        <is>
          <t>Medical Consumables</t>
        </is>
      </c>
      <c r="D52" s="23" t="n">
        <v>950</v>
      </c>
      <c r="E52" s="23" t="n">
        <v>185250</v>
      </c>
      <c r="F52" s="23" t="n">
        <v>700</v>
      </c>
      <c r="G52" s="23" t="n">
        <v>124</v>
      </c>
      <c r="H52" s="23" t="n">
        <v>0</v>
      </c>
      <c r="I52" s="23" t="n">
        <v>0</v>
      </c>
      <c r="J52" s="22" t="inlineStr">
        <is>
          <t>Adequate</t>
        </is>
      </c>
    </row>
    <row r="53">
      <c r="A53" s="22" t="inlineStr">
        <is>
          <t>GEN-0002</t>
        </is>
      </c>
      <c r="B53" s="22" t="inlineStr">
        <is>
          <t>Bleach Solution 5% 1 L</t>
        </is>
      </c>
      <c r="C53" s="22" t="inlineStr">
        <is>
          <t>General Items</t>
        </is>
      </c>
      <c r="D53" s="23" t="n">
        <v>648</v>
      </c>
      <c r="E53" s="23" t="n">
        <v>184680</v>
      </c>
      <c r="F53" s="23" t="n">
        <v>480</v>
      </c>
      <c r="G53" s="23" t="n">
        <v>123</v>
      </c>
      <c r="H53" s="23" t="n">
        <v>0</v>
      </c>
      <c r="I53" s="23" t="n">
        <v>0</v>
      </c>
      <c r="J53" s="22" t="inlineStr">
        <is>
          <t>Adequate</t>
        </is>
      </c>
    </row>
    <row r="54">
      <c r="A54" s="22" t="inlineStr">
        <is>
          <t>CON-0005</t>
        </is>
      </c>
      <c r="B54" s="22" t="inlineStr">
        <is>
          <t>IV Cannula 22G</t>
        </is>
      </c>
      <c r="C54" s="22" t="inlineStr">
        <is>
          <t>Medical Consumables</t>
        </is>
      </c>
      <c r="D54" s="23" t="n">
        <v>3900</v>
      </c>
      <c r="E54" s="23" t="n">
        <v>179400</v>
      </c>
      <c r="F54" s="23" t="n">
        <v>6500</v>
      </c>
      <c r="G54" s="23" t="n">
        <v>55</v>
      </c>
      <c r="H54" s="23" t="n">
        <v>0</v>
      </c>
      <c r="I54" s="23" t="n">
        <v>0</v>
      </c>
      <c r="J54" s="22" t="inlineStr">
        <is>
          <t>Adequate</t>
        </is>
      </c>
    </row>
    <row r="55">
      <c r="A55" s="22" t="inlineStr">
        <is>
          <t>GEN-0008</t>
        </is>
      </c>
      <c r="B55" s="22" t="inlineStr">
        <is>
          <t>Hand Wash Soap 100 g</t>
        </is>
      </c>
      <c r="C55" s="22" t="inlineStr">
        <is>
          <t>General Items</t>
        </is>
      </c>
      <c r="D55" s="23" t="n">
        <v>1392</v>
      </c>
      <c r="E55" s="23" t="n">
        <v>164256</v>
      </c>
      <c r="F55" s="23" t="n">
        <v>1032</v>
      </c>
      <c r="G55" s="23" t="n">
        <v>123</v>
      </c>
      <c r="H55" s="23" t="n">
        <v>0</v>
      </c>
      <c r="I55" s="23" t="n">
        <v>0</v>
      </c>
      <c r="J55" s="22" t="inlineStr">
        <is>
          <t>Adequate</t>
        </is>
      </c>
    </row>
    <row r="56">
      <c r="A56" s="22" t="inlineStr">
        <is>
          <t>LAB-0005</t>
        </is>
      </c>
      <c r="B56" s="22" t="inlineStr">
        <is>
          <t>Glucose Test Strips</t>
        </is>
      </c>
      <c r="C56" s="22" t="inlineStr">
        <is>
          <t>Laboratory</t>
        </is>
      </c>
      <c r="D56" s="23" t="n">
        <v>3800</v>
      </c>
      <c r="E56" s="23" t="n">
        <v>159600</v>
      </c>
      <c r="F56" s="23" t="n">
        <v>4100</v>
      </c>
      <c r="G56" s="23" t="n">
        <v>84</v>
      </c>
      <c r="H56" s="23" t="n">
        <v>31619.5</v>
      </c>
      <c r="I56" s="23" t="n">
        <v>700</v>
      </c>
      <c r="J56" s="22" t="inlineStr">
        <is>
          <t>Adequate</t>
        </is>
      </c>
    </row>
    <row r="57">
      <c r="A57" s="22" t="inlineStr">
        <is>
          <t>MED-0003</t>
        </is>
      </c>
      <c r="B57" s="22" t="inlineStr">
        <is>
          <t>Amoxicillin + Clavulanic Acid 625 mg</t>
        </is>
      </c>
      <c r="C57" s="22" t="inlineStr">
        <is>
          <t>Medicines</t>
        </is>
      </c>
      <c r="D57" s="23" t="n">
        <v>3700</v>
      </c>
      <c r="E57" s="23" t="n">
        <v>142450</v>
      </c>
      <c r="F57" s="23" t="n">
        <v>4100</v>
      </c>
      <c r="G57" s="23" t="n">
        <v>82</v>
      </c>
      <c r="H57" s="23" t="n">
        <v>0</v>
      </c>
      <c r="I57" s="23" t="n">
        <v>0</v>
      </c>
      <c r="J57" s="22" t="inlineStr">
        <is>
          <t>Adequate</t>
        </is>
      </c>
    </row>
    <row r="58">
      <c r="A58" s="22" t="inlineStr">
        <is>
          <t>LAB-0008</t>
        </is>
      </c>
      <c r="B58" s="22" t="inlineStr">
        <is>
          <t>Ziehl-Neelsen Stain Kit</t>
        </is>
      </c>
      <c r="C58" s="22" t="inlineStr">
        <is>
          <t>Laboratory</t>
        </is>
      </c>
      <c r="D58" s="23" t="n">
        <v>36</v>
      </c>
      <c r="E58" s="23" t="n">
        <v>142200</v>
      </c>
      <c r="F58" s="23" t="n">
        <v>51</v>
      </c>
      <c r="G58" s="23" t="n">
        <v>64</v>
      </c>
      <c r="H58" s="23" t="n">
        <v>16023.9</v>
      </c>
      <c r="I58" s="23" t="n">
        <v>4</v>
      </c>
      <c r="J58" s="22" t="inlineStr">
        <is>
          <t>Adequate</t>
        </is>
      </c>
    </row>
    <row r="59">
      <c r="A59" s="22" t="inlineStr">
        <is>
          <t>CON-0012</t>
        </is>
      </c>
      <c r="B59" s="22" t="inlineStr">
        <is>
          <t>Alcohol Swab</t>
        </is>
      </c>
      <c r="C59" s="22" t="inlineStr">
        <is>
          <t>Medical Consumables</t>
        </is>
      </c>
      <c r="D59" s="23" t="n">
        <v>57700</v>
      </c>
      <c r="E59" s="23" t="n">
        <v>138480</v>
      </c>
      <c r="F59" s="23" t="n">
        <v>54100</v>
      </c>
      <c r="G59" s="23" t="n">
        <v>97</v>
      </c>
      <c r="H59" s="23" t="n">
        <v>0</v>
      </c>
      <c r="I59" s="23" t="n">
        <v>0</v>
      </c>
      <c r="J59" s="22" t="inlineStr">
        <is>
          <t>Adequate</t>
        </is>
      </c>
    </row>
    <row r="60">
      <c r="A60" s="22" t="inlineStr">
        <is>
          <t>MED-0018</t>
        </is>
      </c>
      <c r="B60" s="22" t="inlineStr">
        <is>
          <t>Vitamin A 200,000 IU Capsule</t>
        </is>
      </c>
      <c r="C60" s="22" t="inlineStr">
        <is>
          <t>Medicines</t>
        </is>
      </c>
      <c r="D60" s="23" t="n">
        <v>11000</v>
      </c>
      <c r="E60" s="23" t="n">
        <v>136400</v>
      </c>
      <c r="F60" s="23" t="n">
        <v>10900</v>
      </c>
      <c r="G60" s="23" t="n">
        <v>92</v>
      </c>
      <c r="H60" s="23" t="n">
        <v>0</v>
      </c>
      <c r="I60" s="23" t="n">
        <v>0</v>
      </c>
      <c r="J60" s="22" t="inlineStr">
        <is>
          <t>Adequate</t>
        </is>
      </c>
    </row>
    <row r="61">
      <c r="A61" s="22" t="inlineStr">
        <is>
          <t>MED-0016</t>
        </is>
      </c>
      <c r="B61" s="22" t="inlineStr">
        <is>
          <t>Ferrous Sulphate + Folic Acid Tablet</t>
        </is>
      </c>
      <c r="C61" s="22" t="inlineStr">
        <is>
          <t>Medicines</t>
        </is>
      </c>
      <c r="D61" s="23" t="n">
        <v>70000</v>
      </c>
      <c r="E61" s="23" t="n">
        <v>129500</v>
      </c>
      <c r="F61" s="23" t="n">
        <v>109000</v>
      </c>
      <c r="G61" s="23" t="n">
        <v>58</v>
      </c>
      <c r="H61" s="23" t="n">
        <v>0</v>
      </c>
      <c r="I61" s="23" t="n">
        <v>0</v>
      </c>
      <c r="J61" s="22" t="inlineStr">
        <is>
          <t>Adequate</t>
        </is>
      </c>
    </row>
    <row r="62">
      <c r="A62" s="22" t="inlineStr">
        <is>
          <t>MED-0029</t>
        </is>
      </c>
      <c r="B62" s="22" t="inlineStr">
        <is>
          <t>Diclofenac 75 mg Injection</t>
        </is>
      </c>
      <c r="C62" s="22" t="inlineStr">
        <is>
          <t>Medicines</t>
        </is>
      </c>
      <c r="D62" s="23" t="n">
        <v>4280</v>
      </c>
      <c r="E62" s="23" t="n">
        <v>121980</v>
      </c>
      <c r="F62" s="23" t="n">
        <v>3490</v>
      </c>
      <c r="G62" s="23" t="n">
        <v>112</v>
      </c>
      <c r="H62" s="23" t="n">
        <v>0</v>
      </c>
      <c r="I62" s="23" t="n">
        <v>0</v>
      </c>
      <c r="J62" s="22" t="inlineStr">
        <is>
          <t>Adequate</t>
        </is>
      </c>
    </row>
    <row r="63">
      <c r="A63" s="22" t="inlineStr">
        <is>
          <t>MED-0001</t>
        </is>
      </c>
      <c r="B63" s="22" t="inlineStr">
        <is>
          <t>Paracetamol 500 mg Tablet</t>
        </is>
      </c>
      <c r="C63" s="22" t="inlineStr">
        <is>
          <t>Medicines</t>
        </is>
      </c>
      <c r="D63" s="23" t="n">
        <v>106000</v>
      </c>
      <c r="E63" s="23" t="n">
        <v>121900</v>
      </c>
      <c r="F63" s="23" t="n">
        <v>115000</v>
      </c>
      <c r="G63" s="23" t="n">
        <v>84</v>
      </c>
      <c r="H63" s="23" t="n">
        <v>0</v>
      </c>
      <c r="I63" s="23" t="n">
        <v>0</v>
      </c>
      <c r="J63" s="22" t="inlineStr">
        <is>
          <t>Adequate</t>
        </is>
      </c>
    </row>
    <row r="64">
      <c r="A64" s="22" t="inlineStr">
        <is>
          <t>MED-0020</t>
        </is>
      </c>
      <c r="B64" s="22" t="inlineStr">
        <is>
          <t>Isoniazid 300 mg Tablet</t>
        </is>
      </c>
      <c r="C64" s="22" t="inlineStr">
        <is>
          <t>Medicines</t>
        </is>
      </c>
      <c r="D64" s="23" t="n">
        <v>31000</v>
      </c>
      <c r="E64" s="23" t="n">
        <v>120900</v>
      </c>
      <c r="F64" s="23" t="n">
        <v>23000</v>
      </c>
      <c r="G64" s="23" t="n">
        <v>123</v>
      </c>
      <c r="H64" s="23" t="n">
        <v>0</v>
      </c>
      <c r="I64" s="23" t="n">
        <v>0</v>
      </c>
      <c r="J64" s="22" t="inlineStr">
        <is>
          <t>Adequate</t>
        </is>
      </c>
    </row>
    <row r="65">
      <c r="A65" s="22" t="inlineStr">
        <is>
          <t>MED-0017</t>
        </is>
      </c>
      <c r="B65" s="22" t="inlineStr">
        <is>
          <t>Zinc Sulphate 20 mg Dispersible Tablet</t>
        </is>
      </c>
      <c r="C65" s="22" t="inlineStr">
        <is>
          <t>Medicines</t>
        </is>
      </c>
      <c r="D65" s="23" t="n">
        <v>36500</v>
      </c>
      <c r="E65" s="23" t="n">
        <v>113150</v>
      </c>
      <c r="F65" s="23" t="n">
        <v>55000</v>
      </c>
      <c r="G65" s="23" t="n">
        <v>60</v>
      </c>
      <c r="H65" s="23" t="n">
        <v>0</v>
      </c>
      <c r="I65" s="23" t="n">
        <v>0</v>
      </c>
      <c r="J65" s="22" t="inlineStr">
        <is>
          <t>Adequate</t>
        </is>
      </c>
    </row>
    <row r="66">
      <c r="A66" s="22" t="inlineStr">
        <is>
          <t>GEN-0001</t>
        </is>
      </c>
      <c r="B66" s="22" t="inlineStr">
        <is>
          <t>Nitrile Gloves, Utility (Pair)</t>
        </is>
      </c>
      <c r="C66" s="22" t="inlineStr">
        <is>
          <t>General Items</t>
        </is>
      </c>
      <c r="D66" s="23" t="n">
        <v>3300</v>
      </c>
      <c r="E66" s="23" t="n">
        <v>105600</v>
      </c>
      <c r="F66" s="23" t="n">
        <v>4700</v>
      </c>
      <c r="G66" s="23" t="n">
        <v>64</v>
      </c>
      <c r="H66" s="23" t="n">
        <v>0</v>
      </c>
      <c r="I66" s="23" t="n">
        <v>0</v>
      </c>
      <c r="J66" s="22" t="inlineStr">
        <is>
          <t>Adequate</t>
        </is>
      </c>
    </row>
    <row r="67">
      <c r="A67" s="22" t="inlineStr">
        <is>
          <t>MED-0033</t>
        </is>
      </c>
      <c r="B67" s="22" t="inlineStr">
        <is>
          <t>Calcium Carbonate + Vitamin D3</t>
        </is>
      </c>
      <c r="C67" s="22" t="inlineStr">
        <is>
          <t>Medicines</t>
        </is>
      </c>
      <c r="D67" s="23" t="n">
        <v>17000</v>
      </c>
      <c r="E67" s="23" t="n">
        <v>105400</v>
      </c>
      <c r="F67" s="23" t="n">
        <v>15000</v>
      </c>
      <c r="G67" s="23" t="n">
        <v>103</v>
      </c>
      <c r="H67" s="23" t="n">
        <v>0</v>
      </c>
      <c r="I67" s="23" t="n">
        <v>0</v>
      </c>
      <c r="J67" s="22" t="inlineStr">
        <is>
          <t>Adequate</t>
        </is>
      </c>
    </row>
    <row r="68">
      <c r="A68" s="22" t="inlineStr">
        <is>
          <t>MED-0023</t>
        </is>
      </c>
      <c r="B68" s="22" t="inlineStr">
        <is>
          <t>Mebendazole 100 mg Tablet</t>
        </is>
      </c>
      <c r="C68" s="22" t="inlineStr">
        <is>
          <t>Medicines</t>
        </is>
      </c>
      <c r="D68" s="23" t="n">
        <v>40000</v>
      </c>
      <c r="E68" s="23" t="n">
        <v>104000</v>
      </c>
      <c r="F68" s="23" t="n">
        <v>37000</v>
      </c>
      <c r="G68" s="23" t="n">
        <v>98</v>
      </c>
      <c r="H68" s="23" t="n">
        <v>0</v>
      </c>
      <c r="I68" s="23" t="n">
        <v>0</v>
      </c>
      <c r="J68" s="22" t="inlineStr">
        <is>
          <t>Adequate</t>
        </is>
      </c>
    </row>
    <row r="69">
      <c r="A69" s="22" t="inlineStr">
        <is>
          <t>MED-0022</t>
        </is>
      </c>
      <c r="B69" s="22" t="inlineStr">
        <is>
          <t>Pyrazinamide 500 mg Tablet</t>
        </is>
      </c>
      <c r="C69" s="22" t="inlineStr">
        <is>
          <t>Medicines</t>
        </is>
      </c>
      <c r="D69" s="23" t="n">
        <v>12500</v>
      </c>
      <c r="E69" s="23" t="n">
        <v>101250</v>
      </c>
      <c r="F69" s="23" t="n">
        <v>11500</v>
      </c>
      <c r="G69" s="23" t="n">
        <v>99</v>
      </c>
      <c r="H69" s="23" t="n">
        <v>0</v>
      </c>
      <c r="I69" s="23" t="n">
        <v>0</v>
      </c>
      <c r="J69" s="22" t="inlineStr">
        <is>
          <t>Adequate</t>
        </is>
      </c>
    </row>
    <row r="70">
      <c r="A70" s="22" t="inlineStr">
        <is>
          <t>MED-0008</t>
        </is>
      </c>
      <c r="B70" s="22" t="inlineStr">
        <is>
          <t>Ibuprofen 400 mg Tablet</t>
        </is>
      </c>
      <c r="C70" s="22" t="inlineStr">
        <is>
          <t>Medicines</t>
        </is>
      </c>
      <c r="D70" s="23" t="n">
        <v>36000</v>
      </c>
      <c r="E70" s="23" t="n">
        <v>86400</v>
      </c>
      <c r="F70" s="23" t="n">
        <v>50000</v>
      </c>
      <c r="G70" s="23" t="n">
        <v>66</v>
      </c>
      <c r="H70" s="23" t="n">
        <v>0</v>
      </c>
      <c r="I70" s="23" t="n">
        <v>0</v>
      </c>
      <c r="J70" s="22" t="inlineStr">
        <is>
          <t>Adequate</t>
        </is>
      </c>
    </row>
    <row r="71">
      <c r="A71" s="22" t="inlineStr">
        <is>
          <t>MED-0021</t>
        </is>
      </c>
      <c r="B71" s="22" t="inlineStr">
        <is>
          <t>Ethambutol 400 mg Tablet</t>
        </is>
      </c>
      <c r="C71" s="22" t="inlineStr">
        <is>
          <t>Medicines</t>
        </is>
      </c>
      <c r="D71" s="23" t="n">
        <v>11000</v>
      </c>
      <c r="E71" s="23" t="n">
        <v>81400</v>
      </c>
      <c r="F71" s="23" t="n">
        <v>12500</v>
      </c>
      <c r="G71" s="23" t="n">
        <v>80</v>
      </c>
      <c r="H71" s="23" t="n">
        <v>0</v>
      </c>
      <c r="I71" s="23" t="n">
        <v>0</v>
      </c>
      <c r="J71" s="22" t="inlineStr">
        <is>
          <t>Adequate</t>
        </is>
      </c>
    </row>
    <row r="72">
      <c r="A72" s="22" t="inlineStr">
        <is>
          <t>MED-0005</t>
        </is>
      </c>
      <c r="B72" s="22" t="inlineStr">
        <is>
          <t>Metronidazole 400 mg Tablet</t>
        </is>
      </c>
      <c r="C72" s="22" t="inlineStr">
        <is>
          <t>Medicines</t>
        </is>
      </c>
      <c r="D72" s="23" t="n">
        <v>35000</v>
      </c>
      <c r="E72" s="23" t="n">
        <v>73500</v>
      </c>
      <c r="F72" s="23" t="n">
        <v>33000</v>
      </c>
      <c r="G72" s="23" t="n">
        <v>97</v>
      </c>
      <c r="H72" s="23" t="n">
        <v>0</v>
      </c>
      <c r="I72" s="23" t="n">
        <v>0</v>
      </c>
      <c r="J72" s="22" t="inlineStr">
        <is>
          <t>Adequate</t>
        </is>
      </c>
    </row>
    <row r="73">
      <c r="A73" s="22" t="inlineStr">
        <is>
          <t>EQP-0009</t>
        </is>
      </c>
      <c r="B73" s="22" t="inlineStr">
        <is>
          <t>Examination Couch, Folding</t>
        </is>
      </c>
      <c r="C73" s="22" t="inlineStr">
        <is>
          <t>Equipment</t>
        </is>
      </c>
      <c r="D73" s="23" t="n">
        <v>2</v>
      </c>
      <c r="E73" s="23" t="n">
        <v>68000</v>
      </c>
      <c r="F73" s="23" t="n">
        <v>0</v>
      </c>
      <c r="G73" s="23" t="n"/>
      <c r="H73" s="23" t="n">
        <v>33911.87</v>
      </c>
      <c r="I73" s="23" t="n">
        <v>1</v>
      </c>
      <c r="J73" s="22" t="inlineStr">
        <is>
          <t>Slow-moving</t>
        </is>
      </c>
    </row>
    <row r="74">
      <c r="A74" s="22" t="inlineStr">
        <is>
          <t>GEN-0004</t>
        </is>
      </c>
      <c r="B74" s="22" t="inlineStr">
        <is>
          <t>Registers &amp; Health Cards (Pack)</t>
        </is>
      </c>
      <c r="C74" s="22" t="inlineStr">
        <is>
          <t>General Items</t>
        </is>
      </c>
      <c r="D74" s="23" t="n">
        <v>74</v>
      </c>
      <c r="E74" s="23" t="n">
        <v>65860</v>
      </c>
      <c r="F74" s="23" t="n">
        <v>86</v>
      </c>
      <c r="G74" s="23" t="n">
        <v>78</v>
      </c>
      <c r="H74" s="23" t="n">
        <v>0</v>
      </c>
      <c r="I74" s="23" t="n">
        <v>0</v>
      </c>
      <c r="J74" s="22" t="inlineStr">
        <is>
          <t>Adequate</t>
        </is>
      </c>
    </row>
    <row r="75">
      <c r="A75" s="22" t="inlineStr">
        <is>
          <t>MED-0027</t>
        </is>
      </c>
      <c r="B75" s="22" t="inlineStr">
        <is>
          <t>Adrenaline 1 mg/ml Injection</t>
        </is>
      </c>
      <c r="C75" s="22" t="inlineStr">
        <is>
          <t>Medicines</t>
        </is>
      </c>
      <c r="D75" s="23" t="n">
        <v>770</v>
      </c>
      <c r="E75" s="23" t="n">
        <v>52360</v>
      </c>
      <c r="F75" s="23" t="n">
        <v>680</v>
      </c>
      <c r="G75" s="23" t="n">
        <v>103</v>
      </c>
      <c r="H75" s="23" t="n">
        <v>4336</v>
      </c>
      <c r="I75" s="23" t="n">
        <v>60</v>
      </c>
      <c r="J75" s="22" t="inlineStr">
        <is>
          <t>Adequate</t>
        </is>
      </c>
    </row>
    <row r="76">
      <c r="A76" s="22" t="inlineStr">
        <is>
          <t>MED-0014</t>
        </is>
      </c>
      <c r="B76" s="22" t="inlineStr">
        <is>
          <t>Oxytocin 10 IU Injection</t>
        </is>
      </c>
      <c r="C76" s="22" t="inlineStr">
        <is>
          <t>Medicines</t>
        </is>
      </c>
      <c r="D76" s="23" t="n">
        <v>1470</v>
      </c>
      <c r="E76" s="23" t="n">
        <v>50715</v>
      </c>
      <c r="F76" s="23" t="n">
        <v>1640</v>
      </c>
      <c r="G76" s="23" t="n">
        <v>82</v>
      </c>
      <c r="H76" s="23" t="n">
        <v>754.4</v>
      </c>
      <c r="I76" s="23" t="n">
        <v>20</v>
      </c>
      <c r="J76" s="22" t="inlineStr">
        <is>
          <t>Adequate</t>
        </is>
      </c>
    </row>
    <row r="77">
      <c r="A77" s="22" t="inlineStr">
        <is>
          <t>MED-0006</t>
        </is>
      </c>
      <c r="B77" s="22" t="inlineStr">
        <is>
          <t>Ciprofloxacin 500 mg Tablet</t>
        </is>
      </c>
      <c r="C77" s="22" t="inlineStr">
        <is>
          <t>Medicines</t>
        </is>
      </c>
      <c r="D77" s="23" t="n">
        <v>7200</v>
      </c>
      <c r="E77" s="23" t="n">
        <v>48960</v>
      </c>
      <c r="F77" s="23" t="n">
        <v>8000</v>
      </c>
      <c r="G77" s="23" t="n">
        <v>82</v>
      </c>
      <c r="H77" s="23" t="n">
        <v>0</v>
      </c>
      <c r="I77" s="23" t="n">
        <v>0</v>
      </c>
      <c r="J77" s="22" t="inlineStr">
        <is>
          <t>Adequate</t>
        </is>
      </c>
    </row>
    <row r="78">
      <c r="A78" s="22" t="inlineStr">
        <is>
          <t>MED-0026</t>
        </is>
      </c>
      <c r="B78" s="22" t="inlineStr">
        <is>
          <t>Hydrocortisone 100 mg Injection</t>
        </is>
      </c>
      <c r="C78" s="22" t="inlineStr">
        <is>
          <t>Medicines</t>
        </is>
      </c>
      <c r="D78" s="23" t="n">
        <v>928</v>
      </c>
      <c r="E78" s="23" t="n">
        <v>48256</v>
      </c>
      <c r="F78" s="23" t="n">
        <v>915</v>
      </c>
      <c r="G78" s="23" t="n">
        <v>92</v>
      </c>
      <c r="H78" s="23" t="n">
        <v>477.59</v>
      </c>
      <c r="I78" s="23" t="n">
        <v>9</v>
      </c>
      <c r="J78" s="22" t="inlineStr">
        <is>
          <t>Adequate</t>
        </is>
      </c>
    </row>
    <row r="79">
      <c r="A79" s="22" t="inlineStr">
        <is>
          <t>LAB-0007</t>
        </is>
      </c>
      <c r="B79" s="22" t="inlineStr">
        <is>
          <t>Microscope Slide, Frosted</t>
        </is>
      </c>
      <c r="C79" s="22" t="inlineStr">
        <is>
          <t>Laboratory</t>
        </is>
      </c>
      <c r="D79" s="23" t="n">
        <v>7250</v>
      </c>
      <c r="E79" s="23" t="n">
        <v>40600</v>
      </c>
      <c r="F79" s="23" t="n">
        <v>6600</v>
      </c>
      <c r="G79" s="23" t="n">
        <v>100</v>
      </c>
      <c r="H79" s="23" t="n">
        <v>0</v>
      </c>
      <c r="I79" s="23" t="n">
        <v>0</v>
      </c>
      <c r="J79" s="22" t="inlineStr">
        <is>
          <t>Adequate</t>
        </is>
      </c>
    </row>
    <row r="80">
      <c r="A80" s="22" t="inlineStr">
        <is>
          <t>MED-0013</t>
        </is>
      </c>
      <c r="B80" s="22" t="inlineStr">
        <is>
          <t>Misoprostol 200 mcg Tablet</t>
        </is>
      </c>
      <c r="C80" s="22" t="inlineStr">
        <is>
          <t>Medicines</t>
        </is>
      </c>
      <c r="D80" s="23" t="n">
        <v>1560</v>
      </c>
      <c r="E80" s="23" t="n">
        <v>40560</v>
      </c>
      <c r="F80" s="23" t="n">
        <v>1440</v>
      </c>
      <c r="G80" s="23" t="n">
        <v>99</v>
      </c>
      <c r="H80" s="23" t="n">
        <v>0</v>
      </c>
      <c r="I80" s="23" t="n">
        <v>0</v>
      </c>
      <c r="J80" s="22" t="inlineStr">
        <is>
          <t>Adequate</t>
        </is>
      </c>
    </row>
    <row r="81">
      <c r="A81" s="22" t="inlineStr">
        <is>
          <t>MED-0032</t>
        </is>
      </c>
      <c r="B81" s="22" t="inlineStr">
        <is>
          <t>Folic Acid 5 mg Tablet</t>
        </is>
      </c>
      <c r="C81" s="22" t="inlineStr">
        <is>
          <t>Medicines</t>
        </is>
      </c>
      <c r="D81" s="23" t="n">
        <v>37000</v>
      </c>
      <c r="E81" s="23" t="n">
        <v>38850</v>
      </c>
      <c r="F81" s="23" t="n">
        <v>71000</v>
      </c>
      <c r="G81" s="23" t="n">
        <v>47</v>
      </c>
      <c r="H81" s="23" t="n">
        <v>0</v>
      </c>
      <c r="I81" s="23" t="n">
        <v>0</v>
      </c>
      <c r="J81" s="22" t="inlineStr">
        <is>
          <t>Adequate</t>
        </is>
      </c>
    </row>
    <row r="82">
      <c r="A82" s="22" t="inlineStr">
        <is>
          <t>EQP-0008</t>
        </is>
      </c>
      <c r="B82" s="22" t="inlineStr">
        <is>
          <t>Nebuliser Machine</t>
        </is>
      </c>
      <c r="C82" s="22" t="inlineStr">
        <is>
          <t>Equipment</t>
        </is>
      </c>
      <c r="D82" s="23" t="n">
        <v>2</v>
      </c>
      <c r="E82" s="23" t="n">
        <v>29000</v>
      </c>
      <c r="F82" s="23" t="n">
        <v>0</v>
      </c>
      <c r="G82" s="23" t="n"/>
      <c r="H82" s="23" t="n">
        <v>14462.42</v>
      </c>
      <c r="I82" s="23" t="n">
        <v>1</v>
      </c>
      <c r="J82" s="22" t="inlineStr">
        <is>
          <t>Slow-moving</t>
        </is>
      </c>
    </row>
    <row r="83">
      <c r="A83" s="22" t="inlineStr">
        <is>
          <t>MED-0015</t>
        </is>
      </c>
      <c r="B83" s="22" t="inlineStr">
        <is>
          <t>Magnesium Sulphate 50% 10 ml</t>
        </is>
      </c>
      <c r="C83" s="22" t="inlineStr">
        <is>
          <t>Medicines</t>
        </is>
      </c>
      <c r="D83" s="23" t="n">
        <v>670</v>
      </c>
      <c r="E83" s="23" t="n">
        <v>27470</v>
      </c>
      <c r="F83" s="23" t="n">
        <v>910</v>
      </c>
      <c r="G83" s="23" t="n">
        <v>67</v>
      </c>
      <c r="H83" s="23" t="n">
        <v>0</v>
      </c>
      <c r="I83" s="23" t="n">
        <v>0</v>
      </c>
      <c r="J83" s="22" t="inlineStr">
        <is>
          <t>Adequate</t>
        </is>
      </c>
    </row>
    <row r="84">
      <c r="A84" s="22" t="inlineStr">
        <is>
          <t>EQP-0010</t>
        </is>
      </c>
      <c r="B84" s="22" t="inlineStr">
        <is>
          <t>Cold Box, Vaccine Carrier 5 L</t>
        </is>
      </c>
      <c r="C84" s="22" t="inlineStr">
        <is>
          <t>Equipment</t>
        </is>
      </c>
      <c r="D84" s="23" t="n">
        <v>2</v>
      </c>
      <c r="E84" s="23" t="n">
        <v>25600</v>
      </c>
      <c r="F84" s="23" t="n">
        <v>0</v>
      </c>
      <c r="G84" s="23" t="n"/>
      <c r="H84" s="23" t="n">
        <v>12766.82</v>
      </c>
      <c r="I84" s="23" t="n">
        <v>1</v>
      </c>
      <c r="J84" s="22" t="inlineStr">
        <is>
          <t>Slow-moving</t>
        </is>
      </c>
    </row>
    <row r="85">
      <c r="A85" s="22" t="inlineStr">
        <is>
          <t>EQP-0001</t>
        </is>
      </c>
      <c r="B85" s="22" t="inlineStr">
        <is>
          <t>Digital Weighing Scale, Infant</t>
        </is>
      </c>
      <c r="C85" s="22" t="inlineStr">
        <is>
          <t>Equipment</t>
        </is>
      </c>
      <c r="D85" s="23" t="n">
        <v>1</v>
      </c>
      <c r="E85" s="23" t="n">
        <v>18500</v>
      </c>
      <c r="F85" s="23" t="n">
        <v>0</v>
      </c>
      <c r="G85" s="23" t="n"/>
      <c r="H85" s="23" t="n">
        <v>18452.05</v>
      </c>
      <c r="I85" s="23" t="n">
        <v>1</v>
      </c>
      <c r="J85" s="22" t="inlineStr">
        <is>
          <t>Slow-moving</t>
        </is>
      </c>
    </row>
    <row r="86">
      <c r="A86" s="22" t="inlineStr">
        <is>
          <t>MED-0028</t>
        </is>
      </c>
      <c r="B86" s="22" t="inlineStr">
        <is>
          <t>Atropine 0.6 mg/ml Injection</t>
        </is>
      </c>
      <c r="C86" s="22" t="inlineStr">
        <is>
          <t>Medicines</t>
        </is>
      </c>
      <c r="D86" s="23" t="n">
        <v>470</v>
      </c>
      <c r="E86" s="23" t="n">
        <v>18330</v>
      </c>
      <c r="F86" s="23" t="n">
        <v>680</v>
      </c>
      <c r="G86" s="23" t="n">
        <v>63</v>
      </c>
      <c r="H86" s="23" t="n">
        <v>851.7</v>
      </c>
      <c r="I86" s="23" t="n">
        <v>20</v>
      </c>
      <c r="J86" s="22" t="inlineStr">
        <is>
          <t>Adequate</t>
        </is>
      </c>
    </row>
    <row r="87">
      <c r="A87" s="22" t="inlineStr">
        <is>
          <t>EQP-0007</t>
        </is>
      </c>
      <c r="B87" s="22" t="inlineStr">
        <is>
          <t>Pulse Oximeter, Fingertip</t>
        </is>
      </c>
      <c r="C87" s="22" t="inlineStr">
        <is>
          <t>Equipment</t>
        </is>
      </c>
      <c r="D87" s="23" t="n">
        <v>2</v>
      </c>
      <c r="E87" s="23" t="n">
        <v>13600</v>
      </c>
      <c r="F87" s="23" t="n">
        <v>1</v>
      </c>
      <c r="G87" s="23" t="n">
        <v>182</v>
      </c>
      <c r="H87" s="23" t="n">
        <v>6782.37</v>
      </c>
      <c r="I87" s="23" t="n">
        <v>1</v>
      </c>
      <c r="J87" s="22" t="inlineStr">
        <is>
          <t>Adequate</t>
        </is>
      </c>
    </row>
    <row r="88">
      <c r="A88" s="22" t="inlineStr">
        <is>
          <t>EQP-0006</t>
        </is>
      </c>
      <c r="B88" s="22" t="inlineStr">
        <is>
          <t>Digital Thermometer</t>
        </is>
      </c>
      <c r="C88" s="22" t="inlineStr">
        <is>
          <t>Equipment</t>
        </is>
      </c>
      <c r="D88" s="23" t="n">
        <v>6</v>
      </c>
      <c r="E88" s="23" t="n">
        <v>8700</v>
      </c>
      <c r="F88" s="23" t="n">
        <v>0</v>
      </c>
      <c r="G88" s="23" t="n"/>
      <c r="H88" s="23" t="n">
        <v>2892.48</v>
      </c>
      <c r="I88" s="23" t="n">
        <v>2</v>
      </c>
      <c r="J88" s="22" t="inlineStr">
        <is>
          <t>Slow-moving</t>
        </is>
      </c>
    </row>
    <row r="89">
      <c r="A89" s="26" t="inlineStr"/>
      <c r="B89" s="26" t="inlineStr">
        <is>
          <t>TOTAL</t>
        </is>
      </c>
      <c r="C89" s="26" t="inlineStr"/>
      <c r="D89" s="27" t="n">
        <v>1306940</v>
      </c>
      <c r="E89" s="27" t="n">
        <v>38777021.8</v>
      </c>
      <c r="F89" s="27" t="n">
        <v>1306448</v>
      </c>
      <c r="G89" s="26" t="inlineStr"/>
      <c r="H89" s="27" t="n">
        <v>683282.38</v>
      </c>
      <c r="I89" s="27" t="n">
        <v>23096</v>
      </c>
      <c r="J89" s="26" t="inlineStr"/>
    </row>
    <row r="92">
      <c r="A92" s="10" t="inlineStr">
        <is>
          <t>Expiry exposure by bucket (value of stock held)</t>
        </is>
      </c>
    </row>
    <row r="93" ht="30" customHeight="1">
      <c r="A93" s="11" t="inlineStr">
        <is>
          <t>Bucket (days to expiry)</t>
        </is>
      </c>
      <c r="B93" s="11" t="inlineStr">
        <is>
          <t>Value at risk</t>
        </is>
      </c>
      <c r="C93" s="11" t="inlineStr">
        <is>
          <t>Share of stock value</t>
        </is>
      </c>
    </row>
    <row r="94">
      <c r="A94" s="12" t="inlineStr">
        <is>
          <t>Expired (already past)</t>
        </is>
      </c>
      <c r="B94" s="13" t="n">
        <v>683282.38</v>
      </c>
      <c r="C94" s="18" t="n">
        <v>0.0153</v>
      </c>
    </row>
    <row r="95">
      <c r="A95" s="12" t="inlineStr">
        <is>
          <t>0-30</t>
        </is>
      </c>
      <c r="B95" s="13" t="n">
        <v>184028.99</v>
      </c>
      <c r="C95" s="18" t="n">
        <v>0.0041</v>
      </c>
    </row>
    <row r="96">
      <c r="A96" s="12" t="inlineStr">
        <is>
          <t>31-60</t>
        </is>
      </c>
      <c r="B96" s="13" t="n">
        <v>253461.22</v>
      </c>
      <c r="C96" s="18" t="n">
        <v>0.0057</v>
      </c>
    </row>
    <row r="97">
      <c r="A97" s="12" t="inlineStr">
        <is>
          <t>61-90</t>
        </is>
      </c>
      <c r="B97" s="13" t="n">
        <v>813908.92</v>
      </c>
      <c r="C97" s="18" t="n">
        <v>0.0182</v>
      </c>
    </row>
    <row r="98">
      <c r="A98" s="12" t="inlineStr">
        <is>
          <t>91-180</t>
        </is>
      </c>
      <c r="B98" s="13" t="n">
        <v>947457.64</v>
      </c>
      <c r="C98" s="18" t="n">
        <v>0.0212</v>
      </c>
    </row>
    <row r="99">
      <c r="A99" s="12" t="inlineStr">
        <is>
          <t>&gt;180</t>
        </is>
      </c>
      <c r="B99" s="13" t="n">
        <v>41800525.99</v>
      </c>
      <c r="C99" s="18" t="n">
        <v>0.9355</v>
      </c>
    </row>
  </sheetData>
  <mergeCells count="1"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2A65A"/>
    <outlinePr summaryBelow="1" summaryRight="1"/>
    <pageSetUpPr/>
  </sheetPr>
  <dimension ref="A1:H11"/>
  <sheetViews>
    <sheetView showGridLines="0" zoomScale="90" workbookViewId="0">
      <selection activeCell="A1" sqref="A1"/>
    </sheetView>
  </sheetViews>
  <sheetFormatPr baseColWidth="8" defaultRowHeight="15"/>
  <cols>
    <col width="11" customWidth="1" min="1" max="1"/>
    <col width="42" customWidth="1" min="2" max="2"/>
    <col width="20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</cols>
  <sheetData>
    <row r="1">
      <c r="A1" s="1" t="inlineStr">
        <is>
          <t>Slow-moving and Non-moving Stock</t>
        </is>
      </c>
    </row>
    <row r="2">
      <c r="A2" s="2" t="inlineStr">
        <is>
          <t>Items with stock on hand but no or low consumption in the lookback period. Value at standard cost.</t>
        </is>
      </c>
    </row>
    <row r="3" ht="6" customHeight="1"/>
    <row r="5" ht="30" customHeight="1">
      <c r="A5" s="11" t="inlineStr">
        <is>
          <t>Item ID</t>
        </is>
      </c>
      <c r="B5" s="11" t="inlineStr">
        <is>
          <t>Item description</t>
        </is>
      </c>
      <c r="C5" s="11" t="inlineStr">
        <is>
          <t>Category</t>
        </is>
      </c>
      <c r="D5" s="11" t="inlineStr">
        <is>
          <t>On hand</t>
        </is>
      </c>
      <c r="E5" s="11" t="inlineStr">
        <is>
          <t>Stock value</t>
        </is>
      </c>
      <c r="F5" s="11" t="inlineStr">
        <is>
          <t>Consumed (90 days)</t>
        </is>
      </c>
      <c r="G5" s="11" t="inlineStr">
        <is>
          <t>Consumed (last 12 mo)</t>
        </is>
      </c>
      <c r="H5" s="11" t="inlineStr">
        <is>
          <t>Classification</t>
        </is>
      </c>
    </row>
    <row r="6">
      <c r="A6" s="22" t="inlineStr">
        <is>
          <t>EQP-0006</t>
        </is>
      </c>
      <c r="B6" s="22" t="inlineStr">
        <is>
          <t>Digital Thermometer</t>
        </is>
      </c>
      <c r="C6" s="22" t="inlineStr">
        <is>
          <t>Equipment</t>
        </is>
      </c>
      <c r="D6" s="23" t="n">
        <v>6</v>
      </c>
      <c r="E6" s="23" t="n">
        <v>8700</v>
      </c>
      <c r="F6" s="23" t="n">
        <v>0</v>
      </c>
      <c r="G6" s="23" t="n">
        <v>0</v>
      </c>
      <c r="H6" s="22" t="inlineStr">
        <is>
          <t>Non-moving 12 months</t>
        </is>
      </c>
    </row>
    <row r="7">
      <c r="A7" s="22" t="inlineStr">
        <is>
          <t>EQP-0008</t>
        </is>
      </c>
      <c r="B7" s="22" t="inlineStr">
        <is>
          <t>Nebuliser Machine</t>
        </is>
      </c>
      <c r="C7" s="22" t="inlineStr">
        <is>
          <t>Equipment</t>
        </is>
      </c>
      <c r="D7" s="23" t="n">
        <v>2</v>
      </c>
      <c r="E7" s="23" t="n">
        <v>29000</v>
      </c>
      <c r="F7" s="23" t="n">
        <v>0</v>
      </c>
      <c r="G7" s="23" t="n">
        <v>0</v>
      </c>
      <c r="H7" s="22" t="inlineStr">
        <is>
          <t>Non-moving 12 months</t>
        </is>
      </c>
    </row>
    <row r="8">
      <c r="A8" s="22" t="inlineStr">
        <is>
          <t>EQP-0009</t>
        </is>
      </c>
      <c r="B8" s="22" t="inlineStr">
        <is>
          <t>Examination Couch, Folding</t>
        </is>
      </c>
      <c r="C8" s="22" t="inlineStr">
        <is>
          <t>Equipment</t>
        </is>
      </c>
      <c r="D8" s="23" t="n">
        <v>2</v>
      </c>
      <c r="E8" s="23" t="n">
        <v>68000</v>
      </c>
      <c r="F8" s="23" t="n">
        <v>0</v>
      </c>
      <c r="G8" s="23" t="n">
        <v>0</v>
      </c>
      <c r="H8" s="22" t="inlineStr">
        <is>
          <t>Non-moving 12 months</t>
        </is>
      </c>
    </row>
    <row r="9">
      <c r="A9" s="22" t="inlineStr">
        <is>
          <t>EQP-0010</t>
        </is>
      </c>
      <c r="B9" s="22" t="inlineStr">
        <is>
          <t>Cold Box, Vaccine Carrier 5 L</t>
        </is>
      </c>
      <c r="C9" s="22" t="inlineStr">
        <is>
          <t>Equipment</t>
        </is>
      </c>
      <c r="D9" s="23" t="n">
        <v>2</v>
      </c>
      <c r="E9" s="23" t="n">
        <v>25600</v>
      </c>
      <c r="F9" s="23" t="n">
        <v>0</v>
      </c>
      <c r="G9" s="23" t="n">
        <v>0</v>
      </c>
      <c r="H9" s="22" t="inlineStr">
        <is>
          <t>Non-moving 12 months</t>
        </is>
      </c>
    </row>
    <row r="10">
      <c r="A10" s="22" t="inlineStr">
        <is>
          <t>EQP-0001</t>
        </is>
      </c>
      <c r="B10" s="22" t="inlineStr">
        <is>
          <t>Digital Weighing Scale, Infant</t>
        </is>
      </c>
      <c r="C10" s="22" t="inlineStr">
        <is>
          <t>Equipment</t>
        </is>
      </c>
      <c r="D10" s="23" t="n">
        <v>1</v>
      </c>
      <c r="E10" s="23" t="n">
        <v>18500</v>
      </c>
      <c r="F10" s="23" t="n">
        <v>0</v>
      </c>
      <c r="G10" s="23" t="n">
        <v>1</v>
      </c>
      <c r="H10" s="22" t="inlineStr">
        <is>
          <t>Non-moving 3 months</t>
        </is>
      </c>
    </row>
    <row r="11">
      <c r="A11" s="26" t="inlineStr"/>
      <c r="B11" s="26" t="inlineStr">
        <is>
          <t>TOTAL</t>
        </is>
      </c>
      <c r="C11" s="26" t="inlineStr"/>
      <c r="D11" s="27" t="n">
        <v>13</v>
      </c>
      <c r="E11" s="27" t="n">
        <v>149800</v>
      </c>
      <c r="F11" s="26" t="inlineStr"/>
      <c r="G11" s="26" t="inlineStr"/>
      <c r="H11" s="26" t="inlineStr"/>
    </row>
  </sheetData>
  <mergeCells count="1">
    <mergeCell ref="A2:H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C78A8"/>
    <outlinePr summaryBelow="1" summaryRight="1"/>
    <pageSetUpPr/>
  </sheetPr>
  <dimension ref="A1:H18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12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Supplier Performance</t>
        </is>
      </c>
    </row>
    <row r="2">
      <c r="A2" s="2" t="inlineStr">
        <is>
          <t>Lead time from PO date to first receipt. Fulfilment counts orders with at least one receipt.</t>
        </is>
      </c>
    </row>
    <row r="3" ht="6" customHeight="1"/>
    <row r="5" ht="30" customHeight="1">
      <c r="A5" s="11" t="inlineStr">
        <is>
          <t>Supplier ID</t>
        </is>
      </c>
      <c r="B5" s="11" t="inlineStr">
        <is>
          <t>Supplier</t>
        </is>
      </c>
      <c r="C5" s="11" t="inlineStr">
        <is>
          <t>City</t>
        </is>
      </c>
      <c r="D5" s="11" t="inlineStr">
        <is>
          <t>PO lines</t>
        </is>
      </c>
      <c r="E5" s="11" t="inlineStr">
        <is>
          <t>Purchase value</t>
        </is>
      </c>
      <c r="F5" s="11" t="inlineStr">
        <is>
          <t>Avg lead time (days)</t>
        </is>
      </c>
      <c r="G5" s="11" t="inlineStr">
        <is>
          <t>Agreed lead time</t>
        </is>
      </c>
      <c r="H5" s="11" t="inlineStr">
        <is>
          <t>% fulfilled</t>
        </is>
      </c>
    </row>
    <row r="6">
      <c r="A6" s="22" t="inlineStr">
        <is>
          <t>SUP-002</t>
        </is>
      </c>
      <c r="B6" s="22" t="inlineStr">
        <is>
          <t>Muller &amp; Phipps Pakistan</t>
        </is>
      </c>
      <c r="C6" s="22" t="inlineStr">
        <is>
          <t>Karachi</t>
        </is>
      </c>
      <c r="D6" s="23" t="n">
        <v>2768</v>
      </c>
      <c r="E6" s="23" t="n">
        <v>75585172.04000001</v>
      </c>
      <c r="F6" s="23" t="n">
        <v>28</v>
      </c>
      <c r="G6" s="23" t="n">
        <v>28</v>
      </c>
      <c r="H6" s="31" t="n">
        <v>1</v>
      </c>
    </row>
    <row r="7">
      <c r="A7" s="22" t="inlineStr">
        <is>
          <t>SUP-008</t>
        </is>
      </c>
      <c r="B7" s="22" t="inlineStr">
        <is>
          <t>Medisure Distributors</t>
        </is>
      </c>
      <c r="C7" s="22" t="inlineStr">
        <is>
          <t>Karachi</t>
        </is>
      </c>
      <c r="D7" s="23" t="n">
        <v>2525</v>
      </c>
      <c r="E7" s="23" t="n">
        <v>53568614.9</v>
      </c>
      <c r="F7" s="23" t="n">
        <v>22</v>
      </c>
      <c r="G7" s="23" t="n">
        <v>22</v>
      </c>
      <c r="H7" s="31" t="n">
        <v>1</v>
      </c>
    </row>
    <row r="8">
      <c r="A8" s="22" t="inlineStr">
        <is>
          <t>SUP-010</t>
        </is>
      </c>
      <c r="B8" s="22" t="inlineStr">
        <is>
          <t>NutriCare Importers</t>
        </is>
      </c>
      <c r="C8" s="22" t="inlineStr">
        <is>
          <t>Karachi</t>
        </is>
      </c>
      <c r="D8" s="23" t="n">
        <v>556</v>
      </c>
      <c r="E8" s="23" t="n">
        <v>42728936.08</v>
      </c>
      <c r="F8" s="23" t="n">
        <v>55</v>
      </c>
      <c r="G8" s="23" t="n">
        <v>55</v>
      </c>
      <c r="H8" s="31" t="n">
        <v>1</v>
      </c>
    </row>
    <row r="9">
      <c r="A9" s="22" t="inlineStr">
        <is>
          <t>SUP-005</t>
        </is>
      </c>
      <c r="B9" s="22" t="inlineStr">
        <is>
          <t>AGP Limited</t>
        </is>
      </c>
      <c r="C9" s="22" t="inlineStr">
        <is>
          <t>Karachi</t>
        </is>
      </c>
      <c r="D9" s="23" t="n">
        <v>1076</v>
      </c>
      <c r="E9" s="23" t="n">
        <v>23150800</v>
      </c>
      <c r="F9" s="23" t="n">
        <v>26</v>
      </c>
      <c r="G9" s="23" t="n">
        <v>26</v>
      </c>
      <c r="H9" s="31" t="n">
        <v>1</v>
      </c>
    </row>
    <row r="10">
      <c r="A10" s="22" t="inlineStr">
        <is>
          <t>SUP-007</t>
        </is>
      </c>
      <c r="B10" s="22" t="inlineStr">
        <is>
          <t>Surgimed Pakistan</t>
        </is>
      </c>
      <c r="C10" s="22" t="inlineStr">
        <is>
          <t>Karachi</t>
        </is>
      </c>
      <c r="D10" s="23" t="n">
        <v>1055</v>
      </c>
      <c r="E10" s="23" t="n">
        <v>22720005.08</v>
      </c>
      <c r="F10" s="23" t="n">
        <v>18</v>
      </c>
      <c r="G10" s="23" t="n">
        <v>18</v>
      </c>
      <c r="H10" s="31" t="n">
        <v>1</v>
      </c>
    </row>
    <row r="11">
      <c r="A11" s="22" t="inlineStr">
        <is>
          <t>SUP-003</t>
        </is>
      </c>
      <c r="B11" s="22" t="inlineStr">
        <is>
          <t>Searle Pakistan Ltd</t>
        </is>
      </c>
      <c r="C11" s="22" t="inlineStr">
        <is>
          <t>Karachi</t>
        </is>
      </c>
      <c r="D11" s="23" t="n">
        <v>1017</v>
      </c>
      <c r="E11" s="23" t="n">
        <v>18756284.94</v>
      </c>
      <c r="F11" s="23" t="n">
        <v>24</v>
      </c>
      <c r="G11" s="23" t="n">
        <v>24</v>
      </c>
      <c r="H11" s="31" t="n">
        <v>1</v>
      </c>
    </row>
    <row r="12">
      <c r="A12" s="22" t="inlineStr">
        <is>
          <t>SUP-001</t>
        </is>
      </c>
      <c r="B12" s="22" t="inlineStr">
        <is>
          <t>Getz Pharma (Pvt) Ltd</t>
        </is>
      </c>
      <c r="C12" s="22" t="inlineStr">
        <is>
          <t>Karachi</t>
        </is>
      </c>
      <c r="D12" s="23" t="n">
        <v>958</v>
      </c>
      <c r="E12" s="23" t="n">
        <v>17132088.21</v>
      </c>
      <c r="F12" s="23" t="n">
        <v>21</v>
      </c>
      <c r="G12" s="23" t="n">
        <v>21</v>
      </c>
      <c r="H12" s="31" t="n">
        <v>1</v>
      </c>
    </row>
    <row r="13">
      <c r="A13" s="22" t="inlineStr">
        <is>
          <t>SUP-009</t>
        </is>
      </c>
      <c r="B13" s="22" t="inlineStr">
        <is>
          <t>Lab Sciences &amp; Services</t>
        </is>
      </c>
      <c r="C13" s="22" t="inlineStr">
        <is>
          <t>Karachi</t>
        </is>
      </c>
      <c r="D13" s="23" t="n">
        <v>699</v>
      </c>
      <c r="E13" s="23" t="n">
        <v>14979969.05</v>
      </c>
      <c r="F13" s="23" t="n">
        <v>30</v>
      </c>
      <c r="G13" s="23" t="n">
        <v>30</v>
      </c>
      <c r="H13" s="31" t="n">
        <v>1</v>
      </c>
    </row>
    <row r="14">
      <c r="A14" s="22" t="inlineStr">
        <is>
          <t>SUP-006</t>
        </is>
      </c>
      <c r="B14" s="22" t="inlineStr">
        <is>
          <t>Ferozsons Laboratories Ltd</t>
        </is>
      </c>
      <c r="C14" s="22" t="inlineStr">
        <is>
          <t>Rawalpindi</t>
        </is>
      </c>
      <c r="D14" s="23" t="n">
        <v>1056</v>
      </c>
      <c r="E14" s="23" t="n">
        <v>14668356.4</v>
      </c>
      <c r="F14" s="23" t="n">
        <v>38</v>
      </c>
      <c r="G14" s="23" t="n">
        <v>38</v>
      </c>
      <c r="H14" s="31" t="n">
        <v>1</v>
      </c>
    </row>
    <row r="15">
      <c r="A15" s="22" t="inlineStr">
        <is>
          <t>SUP-004</t>
        </is>
      </c>
      <c r="B15" s="22" t="inlineStr">
        <is>
          <t>Highnoon Laboratories Ltd</t>
        </is>
      </c>
      <c r="C15" s="22" t="inlineStr">
        <is>
          <t>Lahore</t>
        </is>
      </c>
      <c r="D15" s="23" t="n">
        <v>988</v>
      </c>
      <c r="E15" s="23" t="n">
        <v>12034758.71</v>
      </c>
      <c r="F15" s="23" t="n">
        <v>35</v>
      </c>
      <c r="G15" s="23" t="n">
        <v>35</v>
      </c>
      <c r="H15" s="31" t="n">
        <v>1</v>
      </c>
    </row>
    <row r="16">
      <c r="A16" s="22" t="inlineStr">
        <is>
          <t>SUP-011</t>
        </is>
      </c>
      <c r="B16" s="22" t="inlineStr">
        <is>
          <t>Al-Hamd Traders (General Items)</t>
        </is>
      </c>
      <c r="C16" s="22" t="inlineStr">
        <is>
          <t>Karachi</t>
        </is>
      </c>
      <c r="D16" s="23" t="n">
        <v>548</v>
      </c>
      <c r="E16" s="23" t="n">
        <v>5933010.26</v>
      </c>
      <c r="F16" s="23" t="n">
        <v>12</v>
      </c>
      <c r="G16" s="23" t="n">
        <v>12</v>
      </c>
      <c r="H16" s="31" t="n">
        <v>1</v>
      </c>
    </row>
    <row r="17">
      <c r="A17" s="22" t="inlineStr">
        <is>
          <t>SUP-012</t>
        </is>
      </c>
      <c r="B17" s="22" t="inlineStr">
        <is>
          <t>Pakistan Medical Equipment Co.</t>
        </is>
      </c>
      <c r="C17" s="22" t="inlineStr">
        <is>
          <t>Islamabad</t>
        </is>
      </c>
      <c r="D17" s="23" t="n">
        <v>3</v>
      </c>
      <c r="E17" s="23" t="n">
        <v>13945.06</v>
      </c>
      <c r="F17" s="23" t="n">
        <v>42</v>
      </c>
      <c r="G17" s="23" t="n">
        <v>42</v>
      </c>
      <c r="H17" s="31" t="n">
        <v>1</v>
      </c>
    </row>
    <row r="18">
      <c r="A18" s="26" t="inlineStr"/>
      <c r="B18" s="26" t="inlineStr">
        <is>
          <t>TOTAL</t>
        </is>
      </c>
      <c r="C18" s="26" t="inlineStr"/>
      <c r="D18" s="27" t="n">
        <v>13249</v>
      </c>
      <c r="E18" s="27" t="n">
        <v>301271940.73</v>
      </c>
      <c r="F18" s="26" t="inlineStr"/>
      <c r="G18" s="26" t="inlineStr"/>
      <c r="H18" s="26" t="inlineStr"/>
    </row>
  </sheetData>
  <mergeCells count="1">
    <mergeCell ref="A2:H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2B7B2"/>
    <outlinePr summaryBelow="1" summaryRight="1"/>
    <pageSetUpPr/>
  </sheetPr>
  <dimension ref="A1:H234"/>
  <sheetViews>
    <sheetView showGridLines="0" zoomScale="90"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 per Beneficiary and per Visit</t>
        </is>
      </c>
    </row>
    <row r="2">
      <c r="A2" s="2" t="inlineStr">
        <is>
          <t>Product consumption value divided by programme service counts for the same project and month.</t>
        </is>
      </c>
    </row>
    <row r="3" ht="6" customHeight="1"/>
    <row r="5" ht="30" customHeight="1">
      <c r="A5" s="11" t="inlineStr">
        <is>
          <t>Project ID</t>
        </is>
      </c>
      <c r="B5" s="11" t="inlineStr">
        <is>
          <t>Project</t>
        </is>
      </c>
      <c r="C5" s="11" t="inlineStr">
        <is>
          <t>Month</t>
        </is>
      </c>
      <c r="D5" s="11" t="inlineStr">
        <is>
          <t>Consumption value</t>
        </is>
      </c>
      <c r="E5" s="11" t="inlineStr">
        <is>
          <t>Beneficiaries</t>
        </is>
      </c>
      <c r="F5" s="11" t="inlineStr">
        <is>
          <t>Cost per beneficiary</t>
        </is>
      </c>
      <c r="G5" s="11" t="inlineStr">
        <is>
          <t>Patient visits</t>
        </is>
      </c>
      <c r="H5" s="11" t="inlineStr">
        <is>
          <t>Cost per visit</t>
        </is>
      </c>
    </row>
    <row r="6">
      <c r="A6" s="22" t="inlineStr">
        <is>
          <t>PRJ-001</t>
        </is>
      </c>
      <c r="B6" s="22" t="inlineStr">
        <is>
          <t>Maternal &amp; Child Health Programme - Korangi</t>
        </is>
      </c>
      <c r="C6" s="22" t="inlineStr">
        <is>
          <t>Jul-2024</t>
        </is>
      </c>
      <c r="D6" s="23" t="n">
        <v>1744348.45</v>
      </c>
      <c r="E6" s="23" t="n">
        <v>3761</v>
      </c>
      <c r="F6" s="25" t="n">
        <v>463.8</v>
      </c>
      <c r="G6" s="23" t="n">
        <v>6803</v>
      </c>
      <c r="H6" s="25" t="n">
        <v>256.41</v>
      </c>
    </row>
    <row r="7">
      <c r="A7" s="22" t="inlineStr">
        <is>
          <t>PRJ-001</t>
        </is>
      </c>
      <c r="B7" s="22" t="inlineStr">
        <is>
          <t>Maternal &amp; Child Health Programme - Korangi</t>
        </is>
      </c>
      <c r="C7" s="22" t="inlineStr">
        <is>
          <t>Aug-2024</t>
        </is>
      </c>
      <c r="D7" s="23" t="n">
        <v>2073265.54</v>
      </c>
      <c r="E7" s="23" t="n">
        <v>4139</v>
      </c>
      <c r="F7" s="25" t="n">
        <v>500.91</v>
      </c>
      <c r="G7" s="23" t="n">
        <v>8491</v>
      </c>
      <c r="H7" s="25" t="n">
        <v>244.17</v>
      </c>
    </row>
    <row r="8">
      <c r="A8" s="22" t="inlineStr">
        <is>
          <t>PRJ-001</t>
        </is>
      </c>
      <c r="B8" s="22" t="inlineStr">
        <is>
          <t>Maternal &amp; Child Health Programme - Korangi</t>
        </is>
      </c>
      <c r="C8" s="22" t="inlineStr">
        <is>
          <t>Sep-2024</t>
        </is>
      </c>
      <c r="D8" s="23" t="n">
        <v>2317924.69</v>
      </c>
      <c r="E8" s="23" t="n">
        <v>4276</v>
      </c>
      <c r="F8" s="25" t="n">
        <v>542.08</v>
      </c>
      <c r="G8" s="23" t="n">
        <v>6894</v>
      </c>
      <c r="H8" s="25" t="n">
        <v>336.22</v>
      </c>
    </row>
    <row r="9">
      <c r="A9" s="22" t="inlineStr">
        <is>
          <t>PRJ-001</t>
        </is>
      </c>
      <c r="B9" s="22" t="inlineStr">
        <is>
          <t>Maternal &amp; Child Health Programme - Korangi</t>
        </is>
      </c>
      <c r="C9" s="22" t="inlineStr">
        <is>
          <t>Oct-2024</t>
        </is>
      </c>
      <c r="D9" s="23" t="n">
        <v>1850358.7</v>
      </c>
      <c r="E9" s="23" t="n">
        <v>5123</v>
      </c>
      <c r="F9" s="25" t="n">
        <v>361.19</v>
      </c>
      <c r="G9" s="23" t="n">
        <v>10217</v>
      </c>
      <c r="H9" s="25" t="n">
        <v>181.11</v>
      </c>
    </row>
    <row r="10">
      <c r="A10" s="22" t="inlineStr">
        <is>
          <t>PRJ-001</t>
        </is>
      </c>
      <c r="B10" s="22" t="inlineStr">
        <is>
          <t>Maternal &amp; Child Health Programme - Korangi</t>
        </is>
      </c>
      <c r="C10" s="22" t="inlineStr">
        <is>
          <t>Nov-2024</t>
        </is>
      </c>
      <c r="D10" s="23" t="n">
        <v>1718356.45</v>
      </c>
      <c r="E10" s="23" t="n">
        <v>4334</v>
      </c>
      <c r="F10" s="25" t="n">
        <v>396.48</v>
      </c>
      <c r="G10" s="23" t="n">
        <v>7728</v>
      </c>
      <c r="H10" s="25" t="n">
        <v>222.35</v>
      </c>
    </row>
    <row r="11">
      <c r="A11" s="22" t="inlineStr">
        <is>
          <t>PRJ-001</t>
        </is>
      </c>
      <c r="B11" s="22" t="inlineStr">
        <is>
          <t>Maternal &amp; Child Health Programme - Korangi</t>
        </is>
      </c>
      <c r="C11" s="22" t="inlineStr">
        <is>
          <t>Dec-2024</t>
        </is>
      </c>
      <c r="D11" s="23" t="n">
        <v>1900801.55</v>
      </c>
      <c r="E11" s="23" t="n">
        <v>4212</v>
      </c>
      <c r="F11" s="25" t="n">
        <v>451.28</v>
      </c>
      <c r="G11" s="23" t="n">
        <v>6817</v>
      </c>
      <c r="H11" s="25" t="n">
        <v>278.83</v>
      </c>
    </row>
    <row r="12">
      <c r="A12" s="22" t="inlineStr">
        <is>
          <t>PRJ-001</t>
        </is>
      </c>
      <c r="B12" s="22" t="inlineStr">
        <is>
          <t>Maternal &amp; Child Health Programme - Korangi</t>
        </is>
      </c>
      <c r="C12" s="22" t="inlineStr">
        <is>
          <t>Jan-2025</t>
        </is>
      </c>
      <c r="D12" s="23" t="n">
        <v>2431128.19</v>
      </c>
      <c r="E12" s="23" t="n">
        <v>3957</v>
      </c>
      <c r="F12" s="25" t="n">
        <v>614.39</v>
      </c>
      <c r="G12" s="23" t="n">
        <v>6024</v>
      </c>
      <c r="H12" s="25" t="n">
        <v>403.57</v>
      </c>
    </row>
    <row r="13">
      <c r="A13" s="22" t="inlineStr">
        <is>
          <t>PRJ-001</t>
        </is>
      </c>
      <c r="B13" s="22" t="inlineStr">
        <is>
          <t>Maternal &amp; Child Health Programme - Korangi</t>
        </is>
      </c>
      <c r="C13" s="22" t="inlineStr">
        <is>
          <t>Feb-2025</t>
        </is>
      </c>
      <c r="D13" s="23" t="n">
        <v>2098830.57</v>
      </c>
      <c r="E13" s="23" t="n">
        <v>4350</v>
      </c>
      <c r="F13" s="25" t="n">
        <v>482.49</v>
      </c>
      <c r="G13" s="23" t="n">
        <v>6581</v>
      </c>
      <c r="H13" s="25" t="n">
        <v>318.92</v>
      </c>
    </row>
    <row r="14">
      <c r="A14" s="22" t="inlineStr">
        <is>
          <t>PRJ-001</t>
        </is>
      </c>
      <c r="B14" s="22" t="inlineStr">
        <is>
          <t>Maternal &amp; Child Health Programme - Korangi</t>
        </is>
      </c>
      <c r="C14" s="22" t="inlineStr">
        <is>
          <t>Mar-2025</t>
        </is>
      </c>
      <c r="D14" s="23" t="n">
        <v>1921833.38</v>
      </c>
      <c r="E14" s="23" t="n">
        <v>4283</v>
      </c>
      <c r="F14" s="25" t="n">
        <v>448.71</v>
      </c>
      <c r="G14" s="23" t="n">
        <v>8015</v>
      </c>
      <c r="H14" s="25" t="n">
        <v>239.78</v>
      </c>
    </row>
    <row r="15">
      <c r="A15" s="22" t="inlineStr">
        <is>
          <t>PRJ-001</t>
        </is>
      </c>
      <c r="B15" s="22" t="inlineStr">
        <is>
          <t>Maternal &amp; Child Health Programme - Korangi</t>
        </is>
      </c>
      <c r="C15" s="22" t="inlineStr">
        <is>
          <t>Apr-2025</t>
        </is>
      </c>
      <c r="D15" s="23" t="n">
        <v>1741330.56</v>
      </c>
      <c r="E15" s="23" t="n">
        <v>5529</v>
      </c>
      <c r="F15" s="25" t="n">
        <v>314.94</v>
      </c>
      <c r="G15" s="23" t="n">
        <v>11390</v>
      </c>
      <c r="H15" s="25" t="n">
        <v>152.88</v>
      </c>
    </row>
    <row r="16">
      <c r="A16" s="22" t="inlineStr">
        <is>
          <t>PRJ-001</t>
        </is>
      </c>
      <c r="B16" s="22" t="inlineStr">
        <is>
          <t>Maternal &amp; Child Health Programme - Korangi</t>
        </is>
      </c>
      <c r="C16" s="22" t="inlineStr">
        <is>
          <t>May-2025</t>
        </is>
      </c>
      <c r="D16" s="23" t="n">
        <v>1606087.79</v>
      </c>
      <c r="E16" s="23" t="n">
        <v>4833</v>
      </c>
      <c r="F16" s="25" t="n">
        <v>332.32</v>
      </c>
      <c r="G16" s="23" t="n">
        <v>7731</v>
      </c>
      <c r="H16" s="25" t="n">
        <v>207.75</v>
      </c>
    </row>
    <row r="17">
      <c r="A17" s="22" t="inlineStr">
        <is>
          <t>PRJ-001</t>
        </is>
      </c>
      <c r="B17" s="22" t="inlineStr">
        <is>
          <t>Maternal &amp; Child Health Programme - Korangi</t>
        </is>
      </c>
      <c r="C17" s="22" t="inlineStr">
        <is>
          <t>Jun-2025</t>
        </is>
      </c>
      <c r="D17" s="23" t="n">
        <v>1909149.48</v>
      </c>
      <c r="E17" s="23" t="n">
        <v>5326</v>
      </c>
      <c r="F17" s="25" t="n">
        <v>358.46</v>
      </c>
      <c r="G17" s="23" t="n">
        <v>9666</v>
      </c>
      <c r="H17" s="25" t="n">
        <v>197.51</v>
      </c>
    </row>
    <row r="18">
      <c r="A18" s="22" t="inlineStr">
        <is>
          <t>PRJ-001</t>
        </is>
      </c>
      <c r="B18" s="22" t="inlineStr">
        <is>
          <t>Maternal &amp; Child Health Programme - Korangi</t>
        </is>
      </c>
      <c r="C18" s="22" t="inlineStr">
        <is>
          <t>Jul-2025</t>
        </is>
      </c>
      <c r="D18" s="23" t="n">
        <v>2345351.69</v>
      </c>
      <c r="E18" s="23" t="n">
        <v>5930</v>
      </c>
      <c r="F18" s="25" t="n">
        <v>395.51</v>
      </c>
      <c r="G18" s="23" t="n">
        <v>8448</v>
      </c>
      <c r="H18" s="25" t="n">
        <v>277.62</v>
      </c>
    </row>
    <row r="19">
      <c r="A19" s="22" t="inlineStr">
        <is>
          <t>PRJ-001</t>
        </is>
      </c>
      <c r="B19" s="22" t="inlineStr">
        <is>
          <t>Maternal &amp; Child Health Programme - Korangi</t>
        </is>
      </c>
      <c r="C19" s="22" t="inlineStr">
        <is>
          <t>Aug-2025</t>
        </is>
      </c>
      <c r="D19" s="23" t="n">
        <v>2918809.21</v>
      </c>
      <c r="E19" s="23" t="n">
        <v>6849</v>
      </c>
      <c r="F19" s="25" t="n">
        <v>426.17</v>
      </c>
      <c r="G19" s="23" t="n">
        <v>12697</v>
      </c>
      <c r="H19" s="25" t="n">
        <v>229.88</v>
      </c>
    </row>
    <row r="20">
      <c r="A20" s="22" t="inlineStr">
        <is>
          <t>PRJ-001</t>
        </is>
      </c>
      <c r="B20" s="22" t="inlineStr">
        <is>
          <t>Maternal &amp; Child Health Programme - Korangi</t>
        </is>
      </c>
      <c r="C20" s="22" t="inlineStr">
        <is>
          <t>Sep-2025</t>
        </is>
      </c>
      <c r="D20" s="23" t="n">
        <v>2972001.62</v>
      </c>
      <c r="E20" s="23" t="n">
        <v>7360</v>
      </c>
      <c r="F20" s="25" t="n">
        <v>403.8</v>
      </c>
      <c r="G20" s="23" t="n">
        <v>10483</v>
      </c>
      <c r="H20" s="25" t="n">
        <v>283.51</v>
      </c>
    </row>
    <row r="21">
      <c r="A21" s="22" t="inlineStr">
        <is>
          <t>PRJ-001</t>
        </is>
      </c>
      <c r="B21" s="22" t="inlineStr">
        <is>
          <t>Maternal &amp; Child Health Programme - Korangi</t>
        </is>
      </c>
      <c r="C21" s="22" t="inlineStr">
        <is>
          <t>Oct-2025</t>
        </is>
      </c>
      <c r="D21" s="23" t="n">
        <v>2417874.96</v>
      </c>
      <c r="E21" s="23" t="n">
        <v>3720</v>
      </c>
      <c r="F21" s="25" t="n">
        <v>649.97</v>
      </c>
      <c r="G21" s="23" t="n">
        <v>5759</v>
      </c>
      <c r="H21" s="25" t="n">
        <v>419.84</v>
      </c>
    </row>
    <row r="22">
      <c r="A22" s="22" t="inlineStr">
        <is>
          <t>PRJ-001</t>
        </is>
      </c>
      <c r="B22" s="22" t="inlineStr">
        <is>
          <t>Maternal &amp; Child Health Programme - Korangi</t>
        </is>
      </c>
      <c r="C22" s="22" t="inlineStr">
        <is>
          <t>Nov-2025</t>
        </is>
      </c>
      <c r="D22" s="23" t="n">
        <v>1919773.24</v>
      </c>
      <c r="E22" s="23" t="n">
        <v>3928</v>
      </c>
      <c r="F22" s="25" t="n">
        <v>488.74</v>
      </c>
      <c r="G22" s="23" t="n">
        <v>6654</v>
      </c>
      <c r="H22" s="25" t="n">
        <v>288.51</v>
      </c>
    </row>
    <row r="23">
      <c r="A23" s="22" t="inlineStr">
        <is>
          <t>PRJ-001</t>
        </is>
      </c>
      <c r="B23" s="22" t="inlineStr">
        <is>
          <t>Maternal &amp; Child Health Programme - Korangi</t>
        </is>
      </c>
      <c r="C23" s="22" t="inlineStr">
        <is>
          <t>Dec-2025</t>
        </is>
      </c>
      <c r="D23" s="23" t="n">
        <v>2259335.95</v>
      </c>
      <c r="E23" s="23" t="n">
        <v>4533</v>
      </c>
      <c r="F23" s="25" t="n">
        <v>498.42</v>
      </c>
      <c r="G23" s="23" t="n">
        <v>8849</v>
      </c>
      <c r="H23" s="25" t="n">
        <v>255.32</v>
      </c>
    </row>
    <row r="24">
      <c r="A24" s="22" t="inlineStr">
        <is>
          <t>PRJ-001</t>
        </is>
      </c>
      <c r="B24" s="22" t="inlineStr">
        <is>
          <t>Maternal &amp; Child Health Programme - Korangi</t>
        </is>
      </c>
      <c r="C24" s="22" t="inlineStr">
        <is>
          <t>Jan-2026</t>
        </is>
      </c>
      <c r="D24" s="23" t="n">
        <v>2899242.79</v>
      </c>
      <c r="E24" s="23" t="n">
        <v>5398</v>
      </c>
      <c r="F24" s="25" t="n">
        <v>537.1</v>
      </c>
      <c r="G24" s="23" t="n">
        <v>9679</v>
      </c>
      <c r="H24" s="25" t="n">
        <v>299.54</v>
      </c>
    </row>
    <row r="25">
      <c r="A25" s="22" t="inlineStr">
        <is>
          <t>PRJ-001</t>
        </is>
      </c>
      <c r="B25" s="22" t="inlineStr">
        <is>
          <t>Maternal &amp; Child Health Programme - Korangi</t>
        </is>
      </c>
      <c r="C25" s="22" t="inlineStr">
        <is>
          <t>Feb-2026</t>
        </is>
      </c>
      <c r="D25" s="23" t="n">
        <v>2534615.98</v>
      </c>
      <c r="E25" s="23" t="n">
        <v>3810</v>
      </c>
      <c r="F25" s="25" t="n">
        <v>665.25</v>
      </c>
      <c r="G25" s="23" t="n">
        <v>7584</v>
      </c>
      <c r="H25" s="25" t="n">
        <v>334.21</v>
      </c>
    </row>
    <row r="26">
      <c r="A26" s="22" t="inlineStr">
        <is>
          <t>PRJ-001</t>
        </is>
      </c>
      <c r="B26" s="22" t="inlineStr">
        <is>
          <t>Maternal &amp; Child Health Programme - Korangi</t>
        </is>
      </c>
      <c r="C26" s="22" t="inlineStr">
        <is>
          <t>Mar-2026</t>
        </is>
      </c>
      <c r="D26" s="23" t="n">
        <v>1851009.32</v>
      </c>
      <c r="E26" s="23" t="n">
        <v>3284</v>
      </c>
      <c r="F26" s="25" t="n">
        <v>563.64</v>
      </c>
      <c r="G26" s="23" t="n">
        <v>6271</v>
      </c>
      <c r="H26" s="25" t="n">
        <v>295.17</v>
      </c>
    </row>
    <row r="27">
      <c r="A27" s="22" t="inlineStr">
        <is>
          <t>PRJ-001</t>
        </is>
      </c>
      <c r="B27" s="22" t="inlineStr">
        <is>
          <t>Maternal &amp; Child Health Programme - Korangi</t>
        </is>
      </c>
      <c r="C27" s="22" t="inlineStr">
        <is>
          <t>Apr-2026</t>
        </is>
      </c>
      <c r="D27" s="23" t="n">
        <v>1886704.99</v>
      </c>
      <c r="E27" s="23" t="n">
        <v>4403</v>
      </c>
      <c r="F27" s="25" t="n">
        <v>428.5</v>
      </c>
      <c r="G27" s="23" t="n">
        <v>9162</v>
      </c>
      <c r="H27" s="25" t="n">
        <v>205.93</v>
      </c>
    </row>
    <row r="28">
      <c r="A28" s="22" t="inlineStr">
        <is>
          <t>PRJ-001</t>
        </is>
      </c>
      <c r="B28" s="22" t="inlineStr">
        <is>
          <t>Maternal &amp; Child Health Programme - Korangi</t>
        </is>
      </c>
      <c r="C28" s="22" t="inlineStr">
        <is>
          <t>May-2026</t>
        </is>
      </c>
      <c r="D28" s="23" t="n">
        <v>1930532.33</v>
      </c>
      <c r="E28" s="23" t="n">
        <v>5287</v>
      </c>
      <c r="F28" s="25" t="n">
        <v>365.15</v>
      </c>
      <c r="G28" s="23" t="n">
        <v>10385</v>
      </c>
      <c r="H28" s="25" t="n">
        <v>185.9</v>
      </c>
    </row>
    <row r="29">
      <c r="A29" s="22" t="inlineStr">
        <is>
          <t>PRJ-001</t>
        </is>
      </c>
      <c r="B29" s="22" t="inlineStr">
        <is>
          <t>Maternal &amp; Child Health Programme - Korangi</t>
        </is>
      </c>
      <c r="C29" s="22" t="inlineStr">
        <is>
          <t>Jun-2026</t>
        </is>
      </c>
      <c r="D29" s="23" t="n">
        <v>2184614</v>
      </c>
      <c r="E29" s="23" t="n">
        <v>6107</v>
      </c>
      <c r="F29" s="25" t="n">
        <v>357.72</v>
      </c>
      <c r="G29" s="23" t="n">
        <v>9915</v>
      </c>
      <c r="H29" s="25" t="n">
        <v>220.33</v>
      </c>
    </row>
    <row r="30">
      <c r="A30" s="22" t="inlineStr">
        <is>
          <t>PRJ-001</t>
        </is>
      </c>
      <c r="B30" s="22" t="inlineStr">
        <is>
          <t>Maternal &amp; Child Health Programme - Korangi</t>
        </is>
      </c>
      <c r="C30" s="22" t="inlineStr">
        <is>
          <t>Jul-2026</t>
        </is>
      </c>
      <c r="D30" s="23" t="n">
        <v>3003585.02</v>
      </c>
      <c r="E30" s="23" t="n">
        <v>6095</v>
      </c>
      <c r="F30" s="25" t="n">
        <v>492.79</v>
      </c>
      <c r="G30" s="23" t="n">
        <v>10966</v>
      </c>
      <c r="H30" s="25" t="n">
        <v>273.9</v>
      </c>
    </row>
    <row r="31">
      <c r="A31" s="22" t="inlineStr">
        <is>
          <t>PRJ-001</t>
        </is>
      </c>
      <c r="B31" s="22" t="inlineStr">
        <is>
          <t>Maternal &amp; Child Health Programme - Korangi</t>
        </is>
      </c>
      <c r="C31" s="22" t="inlineStr">
        <is>
          <t>Aug-2026</t>
        </is>
      </c>
      <c r="D31" s="23" t="n">
        <v>2868726.93</v>
      </c>
      <c r="E31" s="23" t="n">
        <v>4120</v>
      </c>
      <c r="F31" s="25" t="n">
        <v>696.29</v>
      </c>
      <c r="G31" s="23" t="n">
        <v>6320</v>
      </c>
      <c r="H31" s="25" t="n">
        <v>453.91</v>
      </c>
    </row>
    <row r="32">
      <c r="A32" s="22" t="inlineStr">
        <is>
          <t>PRJ-001</t>
        </is>
      </c>
      <c r="B32" s="22" t="inlineStr">
        <is>
          <t>Maternal &amp; Child Health Programme - Korangi</t>
        </is>
      </c>
      <c r="C32" s="22" t="inlineStr">
        <is>
          <t>Sep-2026</t>
        </is>
      </c>
      <c r="D32" s="23" t="n">
        <v>2666456.97</v>
      </c>
      <c r="E32" s="23" t="n">
        <v>4732</v>
      </c>
      <c r="F32" s="25" t="n">
        <v>563.49</v>
      </c>
      <c r="G32" s="23" t="n">
        <v>7062</v>
      </c>
      <c r="H32" s="25" t="n">
        <v>377.58</v>
      </c>
    </row>
    <row r="33">
      <c r="A33" s="22" t="inlineStr">
        <is>
          <t>PRJ-002</t>
        </is>
      </c>
      <c r="B33" s="22" t="inlineStr">
        <is>
          <t>Nutrition Stabilisation Centre - Malir</t>
        </is>
      </c>
      <c r="C33" s="22" t="inlineStr">
        <is>
          <t>Jul-2024</t>
        </is>
      </c>
      <c r="D33" s="23" t="n">
        <v>1091382.14</v>
      </c>
      <c r="E33" s="23" t="n">
        <v>2667</v>
      </c>
      <c r="F33" s="25" t="n">
        <v>409.22</v>
      </c>
      <c r="G33" s="23" t="n">
        <v>5575</v>
      </c>
      <c r="H33" s="25" t="n">
        <v>195.76</v>
      </c>
    </row>
    <row r="34">
      <c r="A34" s="22" t="inlineStr">
        <is>
          <t>PRJ-002</t>
        </is>
      </c>
      <c r="B34" s="22" t="inlineStr">
        <is>
          <t>Nutrition Stabilisation Centre - Malir</t>
        </is>
      </c>
      <c r="C34" s="22" t="inlineStr">
        <is>
          <t>Aug-2024</t>
        </is>
      </c>
      <c r="D34" s="23" t="n">
        <v>1674708.86</v>
      </c>
      <c r="E34" s="23" t="n">
        <v>2699</v>
      </c>
      <c r="F34" s="25" t="n">
        <v>620.49</v>
      </c>
      <c r="G34" s="23" t="n">
        <v>6019</v>
      </c>
      <c r="H34" s="25" t="n">
        <v>278.24</v>
      </c>
    </row>
    <row r="35">
      <c r="A35" s="22" t="inlineStr">
        <is>
          <t>PRJ-002</t>
        </is>
      </c>
      <c r="B35" s="22" t="inlineStr">
        <is>
          <t>Nutrition Stabilisation Centre - Malir</t>
        </is>
      </c>
      <c r="C35" s="22" t="inlineStr">
        <is>
          <t>Sep-2024</t>
        </is>
      </c>
      <c r="D35" s="23" t="n">
        <v>1542064.18</v>
      </c>
      <c r="E35" s="23" t="n">
        <v>3267</v>
      </c>
      <c r="F35" s="25" t="n">
        <v>472.01</v>
      </c>
      <c r="G35" s="23" t="n">
        <v>7398</v>
      </c>
      <c r="H35" s="25" t="n">
        <v>208.44</v>
      </c>
    </row>
    <row r="36">
      <c r="A36" s="22" t="inlineStr">
        <is>
          <t>PRJ-002</t>
        </is>
      </c>
      <c r="B36" s="22" t="inlineStr">
        <is>
          <t>Nutrition Stabilisation Centre - Malir</t>
        </is>
      </c>
      <c r="C36" s="22" t="inlineStr">
        <is>
          <t>Oct-2024</t>
        </is>
      </c>
      <c r="D36" s="23" t="n">
        <v>1691244.08</v>
      </c>
      <c r="E36" s="23" t="n">
        <v>3014</v>
      </c>
      <c r="F36" s="25" t="n">
        <v>561.13</v>
      </c>
      <c r="G36" s="23" t="n">
        <v>4771</v>
      </c>
      <c r="H36" s="25" t="n">
        <v>354.48</v>
      </c>
    </row>
    <row r="37">
      <c r="A37" s="22" t="inlineStr">
        <is>
          <t>PRJ-002</t>
        </is>
      </c>
      <c r="B37" s="22" t="inlineStr">
        <is>
          <t>Nutrition Stabilisation Centre - Malir</t>
        </is>
      </c>
      <c r="C37" s="22" t="inlineStr">
        <is>
          <t>Nov-2024</t>
        </is>
      </c>
      <c r="D37" s="23" t="n">
        <v>1319345.3</v>
      </c>
      <c r="E37" s="23" t="n">
        <v>2810</v>
      </c>
      <c r="F37" s="25" t="n">
        <v>469.52</v>
      </c>
      <c r="G37" s="23" t="n">
        <v>4986</v>
      </c>
      <c r="H37" s="25" t="n">
        <v>264.61</v>
      </c>
    </row>
    <row r="38">
      <c r="A38" s="22" t="inlineStr">
        <is>
          <t>PRJ-002</t>
        </is>
      </c>
      <c r="B38" s="22" t="inlineStr">
        <is>
          <t>Nutrition Stabilisation Centre - Malir</t>
        </is>
      </c>
      <c r="C38" s="22" t="inlineStr">
        <is>
          <t>Dec-2024</t>
        </is>
      </c>
      <c r="D38" s="23" t="n">
        <v>1584827.8</v>
      </c>
      <c r="E38" s="23" t="n">
        <v>2886</v>
      </c>
      <c r="F38" s="25" t="n">
        <v>549.14</v>
      </c>
      <c r="G38" s="23" t="n">
        <v>4160</v>
      </c>
      <c r="H38" s="25" t="n">
        <v>380.97</v>
      </c>
    </row>
    <row r="39">
      <c r="A39" s="22" t="inlineStr">
        <is>
          <t>PRJ-002</t>
        </is>
      </c>
      <c r="B39" s="22" t="inlineStr">
        <is>
          <t>Nutrition Stabilisation Centre - Malir</t>
        </is>
      </c>
      <c r="C39" s="22" t="inlineStr">
        <is>
          <t>Jan-2025</t>
        </is>
      </c>
      <c r="D39" s="23" t="n">
        <v>2055514.11</v>
      </c>
      <c r="E39" s="23" t="n">
        <v>2542</v>
      </c>
      <c r="F39" s="25" t="n">
        <v>808.62</v>
      </c>
      <c r="G39" s="23" t="n">
        <v>5019</v>
      </c>
      <c r="H39" s="25" t="n">
        <v>409.55</v>
      </c>
    </row>
    <row r="40">
      <c r="A40" s="22" t="inlineStr">
        <is>
          <t>PRJ-002</t>
        </is>
      </c>
      <c r="B40" s="22" t="inlineStr">
        <is>
          <t>Nutrition Stabilisation Centre - Malir</t>
        </is>
      </c>
      <c r="C40" s="22" t="inlineStr">
        <is>
          <t>Feb-2025</t>
        </is>
      </c>
      <c r="D40" s="23" t="n">
        <v>1725422.75</v>
      </c>
      <c r="E40" s="23" t="n">
        <v>3937</v>
      </c>
      <c r="F40" s="25" t="n">
        <v>438.26</v>
      </c>
      <c r="G40" s="23" t="n">
        <v>7195</v>
      </c>
      <c r="H40" s="25" t="n">
        <v>239.81</v>
      </c>
    </row>
    <row r="41">
      <c r="A41" s="22" t="inlineStr">
        <is>
          <t>PRJ-002</t>
        </is>
      </c>
      <c r="B41" s="22" t="inlineStr">
        <is>
          <t>Nutrition Stabilisation Centre - Malir</t>
        </is>
      </c>
      <c r="C41" s="22" t="inlineStr">
        <is>
          <t>Mar-2025</t>
        </is>
      </c>
      <c r="D41" s="23" t="n">
        <v>1500283.28</v>
      </c>
      <c r="E41" s="23" t="n">
        <v>2874</v>
      </c>
      <c r="F41" s="25" t="n">
        <v>522.02</v>
      </c>
      <c r="G41" s="23" t="n">
        <v>5836</v>
      </c>
      <c r="H41" s="25" t="n">
        <v>257.07</v>
      </c>
    </row>
    <row r="42">
      <c r="A42" s="22" t="inlineStr">
        <is>
          <t>PRJ-002</t>
        </is>
      </c>
      <c r="B42" s="22" t="inlineStr">
        <is>
          <t>Nutrition Stabilisation Centre - Malir</t>
        </is>
      </c>
      <c r="C42" s="22" t="inlineStr">
        <is>
          <t>Apr-2025</t>
        </is>
      </c>
      <c r="D42" s="23" t="n">
        <v>1315262.43</v>
      </c>
      <c r="E42" s="23" t="n">
        <v>3527</v>
      </c>
      <c r="F42" s="25" t="n">
        <v>372.91</v>
      </c>
      <c r="G42" s="23" t="n">
        <v>7836</v>
      </c>
      <c r="H42" s="25" t="n">
        <v>167.85</v>
      </c>
    </row>
    <row r="43">
      <c r="A43" s="22" t="inlineStr">
        <is>
          <t>PRJ-002</t>
        </is>
      </c>
      <c r="B43" s="22" t="inlineStr">
        <is>
          <t>Nutrition Stabilisation Centre - Malir</t>
        </is>
      </c>
      <c r="C43" s="22" t="inlineStr">
        <is>
          <t>May-2025</t>
        </is>
      </c>
      <c r="D43" s="23" t="n">
        <v>1209115.66</v>
      </c>
      <c r="E43" s="23" t="n">
        <v>3343</v>
      </c>
      <c r="F43" s="25" t="n">
        <v>361.69</v>
      </c>
      <c r="G43" s="23" t="n">
        <v>7418</v>
      </c>
      <c r="H43" s="25" t="n">
        <v>163</v>
      </c>
    </row>
    <row r="44">
      <c r="A44" s="22" t="inlineStr">
        <is>
          <t>PRJ-002</t>
        </is>
      </c>
      <c r="B44" s="22" t="inlineStr">
        <is>
          <t>Nutrition Stabilisation Centre - Malir</t>
        </is>
      </c>
      <c r="C44" s="22" t="inlineStr">
        <is>
          <t>Jun-2025</t>
        </is>
      </c>
      <c r="D44" s="23" t="n">
        <v>1161291.53</v>
      </c>
      <c r="E44" s="23" t="n">
        <v>3909</v>
      </c>
      <c r="F44" s="25" t="n">
        <v>297.08</v>
      </c>
      <c r="G44" s="23" t="n">
        <v>8841</v>
      </c>
      <c r="H44" s="25" t="n">
        <v>131.35</v>
      </c>
    </row>
    <row r="45">
      <c r="A45" s="22" t="inlineStr">
        <is>
          <t>PRJ-002</t>
        </is>
      </c>
      <c r="B45" s="22" t="inlineStr">
        <is>
          <t>Nutrition Stabilisation Centre - Malir</t>
        </is>
      </c>
      <c r="C45" s="22" t="inlineStr">
        <is>
          <t>Jul-2025</t>
        </is>
      </c>
      <c r="D45" s="23" t="n">
        <v>1690393.67</v>
      </c>
      <c r="E45" s="23" t="n">
        <v>3123</v>
      </c>
      <c r="F45" s="25" t="n">
        <v>541.27</v>
      </c>
      <c r="G45" s="23" t="n">
        <v>6398</v>
      </c>
      <c r="H45" s="25" t="n">
        <v>264.21</v>
      </c>
    </row>
    <row r="46">
      <c r="A46" s="22" t="inlineStr">
        <is>
          <t>PRJ-002</t>
        </is>
      </c>
      <c r="B46" s="22" t="inlineStr">
        <is>
          <t>Nutrition Stabilisation Centre - Malir</t>
        </is>
      </c>
      <c r="C46" s="22" t="inlineStr">
        <is>
          <t>Aug-2025</t>
        </is>
      </c>
      <c r="D46" s="23" t="n">
        <v>2594152.62</v>
      </c>
      <c r="E46" s="23" t="n">
        <v>4071</v>
      </c>
      <c r="F46" s="25" t="n">
        <v>637.23</v>
      </c>
      <c r="G46" s="23" t="n">
        <v>8082</v>
      </c>
      <c r="H46" s="25" t="n">
        <v>320.98</v>
      </c>
    </row>
    <row r="47">
      <c r="A47" s="22" t="inlineStr">
        <is>
          <t>PRJ-002</t>
        </is>
      </c>
      <c r="B47" s="22" t="inlineStr">
        <is>
          <t>Nutrition Stabilisation Centre - Malir</t>
        </is>
      </c>
      <c r="C47" s="22" t="inlineStr">
        <is>
          <t>Sep-2025</t>
        </is>
      </c>
      <c r="D47" s="23" t="n">
        <v>2398903.75</v>
      </c>
      <c r="E47" s="23" t="n">
        <v>4795</v>
      </c>
      <c r="F47" s="25" t="n">
        <v>500.29</v>
      </c>
      <c r="G47" s="23" t="n">
        <v>8112</v>
      </c>
      <c r="H47" s="25" t="n">
        <v>295.72</v>
      </c>
    </row>
    <row r="48">
      <c r="A48" s="22" t="inlineStr">
        <is>
          <t>PRJ-002</t>
        </is>
      </c>
      <c r="B48" s="22" t="inlineStr">
        <is>
          <t>Nutrition Stabilisation Centre - Malir</t>
        </is>
      </c>
      <c r="C48" s="22" t="inlineStr">
        <is>
          <t>Oct-2025</t>
        </is>
      </c>
      <c r="D48" s="23" t="n">
        <v>1656158.67</v>
      </c>
      <c r="E48" s="23" t="n">
        <v>2822</v>
      </c>
      <c r="F48" s="25" t="n">
        <v>586.87</v>
      </c>
      <c r="G48" s="23" t="n">
        <v>4528</v>
      </c>
      <c r="H48" s="25" t="n">
        <v>365.76</v>
      </c>
    </row>
    <row r="49">
      <c r="A49" s="22" t="inlineStr">
        <is>
          <t>PRJ-002</t>
        </is>
      </c>
      <c r="B49" s="22" t="inlineStr">
        <is>
          <t>Nutrition Stabilisation Centre - Malir</t>
        </is>
      </c>
      <c r="C49" s="22" t="inlineStr">
        <is>
          <t>Nov-2025</t>
        </is>
      </c>
      <c r="D49" s="23" t="n">
        <v>1385870.84</v>
      </c>
      <c r="E49" s="23" t="n">
        <v>3672</v>
      </c>
      <c r="F49" s="25" t="n">
        <v>377.42</v>
      </c>
      <c r="G49" s="23" t="n">
        <v>5789</v>
      </c>
      <c r="H49" s="25" t="n">
        <v>239.4</v>
      </c>
    </row>
    <row r="50">
      <c r="A50" s="22" t="inlineStr">
        <is>
          <t>PRJ-002</t>
        </is>
      </c>
      <c r="B50" s="22" t="inlineStr">
        <is>
          <t>Nutrition Stabilisation Centre - Malir</t>
        </is>
      </c>
      <c r="C50" s="22" t="inlineStr">
        <is>
          <t>Dec-2025</t>
        </is>
      </c>
      <c r="D50" s="23" t="n">
        <v>1797014.65</v>
      </c>
      <c r="E50" s="23" t="n">
        <v>3876</v>
      </c>
      <c r="F50" s="25" t="n">
        <v>463.63</v>
      </c>
      <c r="G50" s="23" t="n">
        <v>6759</v>
      </c>
      <c r="H50" s="25" t="n">
        <v>265.87</v>
      </c>
    </row>
    <row r="51">
      <c r="A51" s="22" t="inlineStr">
        <is>
          <t>PRJ-002</t>
        </is>
      </c>
      <c r="B51" s="22" t="inlineStr">
        <is>
          <t>Nutrition Stabilisation Centre - Malir</t>
        </is>
      </c>
      <c r="C51" s="22" t="inlineStr">
        <is>
          <t>Jan-2026</t>
        </is>
      </c>
      <c r="D51" s="23" t="n">
        <v>1699869.17</v>
      </c>
      <c r="E51" s="23" t="n">
        <v>2697</v>
      </c>
      <c r="F51" s="25" t="n">
        <v>630.28</v>
      </c>
      <c r="G51" s="23" t="n">
        <v>5183</v>
      </c>
      <c r="H51" s="25" t="n">
        <v>327.97</v>
      </c>
    </row>
    <row r="52">
      <c r="A52" s="22" t="inlineStr">
        <is>
          <t>PRJ-002</t>
        </is>
      </c>
      <c r="B52" s="22" t="inlineStr">
        <is>
          <t>Nutrition Stabilisation Centre - Malir</t>
        </is>
      </c>
      <c r="C52" s="22" t="inlineStr">
        <is>
          <t>Feb-2026</t>
        </is>
      </c>
      <c r="D52" s="23" t="n">
        <v>2177400.64</v>
      </c>
      <c r="E52" s="23" t="n">
        <v>3571</v>
      </c>
      <c r="F52" s="25" t="n">
        <v>609.75</v>
      </c>
      <c r="G52" s="23" t="n">
        <v>6897</v>
      </c>
      <c r="H52" s="25" t="n">
        <v>315.7</v>
      </c>
    </row>
    <row r="53">
      <c r="A53" s="22" t="inlineStr">
        <is>
          <t>PRJ-002</t>
        </is>
      </c>
      <c r="B53" s="22" t="inlineStr">
        <is>
          <t>Nutrition Stabilisation Centre - Malir</t>
        </is>
      </c>
      <c r="C53" s="22" t="inlineStr">
        <is>
          <t>Mar-2026</t>
        </is>
      </c>
      <c r="D53" s="23" t="n">
        <v>1518983.01</v>
      </c>
      <c r="E53" s="23" t="n">
        <v>2352</v>
      </c>
      <c r="F53" s="25" t="n">
        <v>645.83</v>
      </c>
      <c r="G53" s="23" t="n">
        <v>4761</v>
      </c>
      <c r="H53" s="25" t="n">
        <v>319.05</v>
      </c>
    </row>
    <row r="54">
      <c r="A54" s="22" t="inlineStr">
        <is>
          <t>PRJ-002</t>
        </is>
      </c>
      <c r="B54" s="22" t="inlineStr">
        <is>
          <t>Nutrition Stabilisation Centre - Malir</t>
        </is>
      </c>
      <c r="C54" s="22" t="inlineStr">
        <is>
          <t>Apr-2026</t>
        </is>
      </c>
      <c r="D54" s="23" t="n">
        <v>1184498.83</v>
      </c>
      <c r="E54" s="23" t="n">
        <v>3948</v>
      </c>
      <c r="F54" s="25" t="n">
        <v>300.03</v>
      </c>
      <c r="G54" s="23" t="n">
        <v>6489</v>
      </c>
      <c r="H54" s="25" t="n">
        <v>182.54</v>
      </c>
    </row>
    <row r="55">
      <c r="A55" s="22" t="inlineStr">
        <is>
          <t>PRJ-002</t>
        </is>
      </c>
      <c r="B55" s="22" t="inlineStr">
        <is>
          <t>Nutrition Stabilisation Centre - Malir</t>
        </is>
      </c>
      <c r="C55" s="22" t="inlineStr">
        <is>
          <t>May-2026</t>
        </is>
      </c>
      <c r="D55" s="23" t="n">
        <v>1414970.62</v>
      </c>
      <c r="E55" s="23" t="n">
        <v>3841</v>
      </c>
      <c r="F55" s="25" t="n">
        <v>368.39</v>
      </c>
      <c r="G55" s="23" t="n">
        <v>5783</v>
      </c>
      <c r="H55" s="25" t="n">
        <v>244.68</v>
      </c>
    </row>
    <row r="56">
      <c r="A56" s="22" t="inlineStr">
        <is>
          <t>PRJ-002</t>
        </is>
      </c>
      <c r="B56" s="22" t="inlineStr">
        <is>
          <t>Nutrition Stabilisation Centre - Malir</t>
        </is>
      </c>
      <c r="C56" s="22" t="inlineStr">
        <is>
          <t>Jun-2026</t>
        </is>
      </c>
      <c r="D56" s="23" t="n">
        <v>1590640.83</v>
      </c>
      <c r="E56" s="23" t="n">
        <v>4335</v>
      </c>
      <c r="F56" s="25" t="n">
        <v>366.93</v>
      </c>
      <c r="G56" s="23" t="n">
        <v>9483</v>
      </c>
      <c r="H56" s="25" t="n">
        <v>167.74</v>
      </c>
    </row>
    <row r="57">
      <c r="A57" s="22" t="inlineStr">
        <is>
          <t>PRJ-002</t>
        </is>
      </c>
      <c r="B57" s="22" t="inlineStr">
        <is>
          <t>Nutrition Stabilisation Centre - Malir</t>
        </is>
      </c>
      <c r="C57" s="22" t="inlineStr">
        <is>
          <t>Jul-2026</t>
        </is>
      </c>
      <c r="D57" s="23" t="n">
        <v>2136920.67</v>
      </c>
      <c r="E57" s="23" t="n">
        <v>3807</v>
      </c>
      <c r="F57" s="25" t="n">
        <v>561.3099999999999</v>
      </c>
      <c r="G57" s="23" t="n">
        <v>5592</v>
      </c>
      <c r="H57" s="25" t="n">
        <v>382.14</v>
      </c>
    </row>
    <row r="58">
      <c r="A58" s="22" t="inlineStr">
        <is>
          <t>PRJ-002</t>
        </is>
      </c>
      <c r="B58" s="22" t="inlineStr">
        <is>
          <t>Nutrition Stabilisation Centre - Malir</t>
        </is>
      </c>
      <c r="C58" s="22" t="inlineStr">
        <is>
          <t>Aug-2026</t>
        </is>
      </c>
      <c r="D58" s="23" t="n">
        <v>1842379.43</v>
      </c>
      <c r="E58" s="23" t="n">
        <v>3178</v>
      </c>
      <c r="F58" s="25" t="n">
        <v>579.73</v>
      </c>
      <c r="G58" s="23" t="n">
        <v>5475</v>
      </c>
      <c r="H58" s="25" t="n">
        <v>336.51</v>
      </c>
    </row>
    <row r="59">
      <c r="A59" s="22" t="inlineStr">
        <is>
          <t>PRJ-002</t>
        </is>
      </c>
      <c r="B59" s="22" t="inlineStr">
        <is>
          <t>Nutrition Stabilisation Centre - Malir</t>
        </is>
      </c>
      <c r="C59" s="22" t="inlineStr">
        <is>
          <t>Sep-2026</t>
        </is>
      </c>
      <c r="D59" s="23" t="n">
        <v>2069454.43</v>
      </c>
      <c r="E59" s="23" t="n">
        <v>3187</v>
      </c>
      <c r="F59" s="25" t="n">
        <v>649.34</v>
      </c>
      <c r="G59" s="23" t="n">
        <v>5747</v>
      </c>
      <c r="H59" s="25" t="n">
        <v>360.09</v>
      </c>
    </row>
    <row r="60">
      <c r="A60" s="22" t="inlineStr">
        <is>
          <t>PRJ-003</t>
        </is>
      </c>
      <c r="B60" s="22" t="inlineStr">
        <is>
          <t>TB DOTS Expansion - Karachi South</t>
        </is>
      </c>
      <c r="C60" s="22" t="inlineStr">
        <is>
          <t>Jul-2024</t>
        </is>
      </c>
      <c r="D60" s="23" t="n">
        <v>1032583.98</v>
      </c>
      <c r="E60" s="23" t="n">
        <v>3542</v>
      </c>
      <c r="F60" s="25" t="n">
        <v>291.53</v>
      </c>
      <c r="G60" s="23" t="n">
        <v>5053</v>
      </c>
      <c r="H60" s="25" t="n">
        <v>204.35</v>
      </c>
    </row>
    <row r="61">
      <c r="A61" s="22" t="inlineStr">
        <is>
          <t>PRJ-003</t>
        </is>
      </c>
      <c r="B61" s="22" t="inlineStr">
        <is>
          <t>TB DOTS Expansion - Karachi South</t>
        </is>
      </c>
      <c r="C61" s="22" t="inlineStr">
        <is>
          <t>Aug-2024</t>
        </is>
      </c>
      <c r="D61" s="23" t="n">
        <v>1436571.54</v>
      </c>
      <c r="E61" s="23" t="n">
        <v>4506</v>
      </c>
      <c r="F61" s="25" t="n">
        <v>318.81</v>
      </c>
      <c r="G61" s="23" t="n">
        <v>10360</v>
      </c>
      <c r="H61" s="25" t="n">
        <v>138.67</v>
      </c>
    </row>
    <row r="62">
      <c r="A62" s="22" t="inlineStr">
        <is>
          <t>PRJ-003</t>
        </is>
      </c>
      <c r="B62" s="22" t="inlineStr">
        <is>
          <t>TB DOTS Expansion - Karachi South</t>
        </is>
      </c>
      <c r="C62" s="22" t="inlineStr">
        <is>
          <t>Sep-2024</t>
        </is>
      </c>
      <c r="D62" s="23" t="n">
        <v>1210337.21</v>
      </c>
      <c r="E62" s="23" t="n">
        <v>3097</v>
      </c>
      <c r="F62" s="25" t="n">
        <v>390.81</v>
      </c>
      <c r="G62" s="23" t="n">
        <v>5091</v>
      </c>
      <c r="H62" s="25" t="n">
        <v>237.74</v>
      </c>
    </row>
    <row r="63">
      <c r="A63" s="22" t="inlineStr">
        <is>
          <t>PRJ-003</t>
        </is>
      </c>
      <c r="B63" s="22" t="inlineStr">
        <is>
          <t>TB DOTS Expansion - Karachi South</t>
        </is>
      </c>
      <c r="C63" s="22" t="inlineStr">
        <is>
          <t>Oct-2024</t>
        </is>
      </c>
      <c r="D63" s="23" t="n">
        <v>1136696.29</v>
      </c>
      <c r="E63" s="23" t="n">
        <v>3511</v>
      </c>
      <c r="F63" s="25" t="n">
        <v>323.75</v>
      </c>
      <c r="G63" s="23" t="n">
        <v>5276</v>
      </c>
      <c r="H63" s="25" t="n">
        <v>215.45</v>
      </c>
    </row>
    <row r="64">
      <c r="A64" s="22" t="inlineStr">
        <is>
          <t>PRJ-003</t>
        </is>
      </c>
      <c r="B64" s="22" t="inlineStr">
        <is>
          <t>TB DOTS Expansion - Karachi South</t>
        </is>
      </c>
      <c r="C64" s="22" t="inlineStr">
        <is>
          <t>Nov-2024</t>
        </is>
      </c>
      <c r="D64" s="23" t="n">
        <v>835082.04</v>
      </c>
      <c r="E64" s="23" t="n">
        <v>3860</v>
      </c>
      <c r="F64" s="25" t="n">
        <v>216.34</v>
      </c>
      <c r="G64" s="23" t="n">
        <v>5646</v>
      </c>
      <c r="H64" s="25" t="n">
        <v>147.91</v>
      </c>
    </row>
    <row r="65">
      <c r="A65" s="22" t="inlineStr">
        <is>
          <t>PRJ-003</t>
        </is>
      </c>
      <c r="B65" s="22" t="inlineStr">
        <is>
          <t>TB DOTS Expansion - Karachi South</t>
        </is>
      </c>
      <c r="C65" s="22" t="inlineStr">
        <is>
          <t>Dec-2024</t>
        </is>
      </c>
      <c r="D65" s="23" t="n">
        <v>855538.1800000001</v>
      </c>
      <c r="E65" s="23" t="n">
        <v>4530</v>
      </c>
      <c r="F65" s="25" t="n">
        <v>188.86</v>
      </c>
      <c r="G65" s="23" t="n">
        <v>6995</v>
      </c>
      <c r="H65" s="25" t="n">
        <v>122.31</v>
      </c>
    </row>
    <row r="66">
      <c r="A66" s="22" t="inlineStr">
        <is>
          <t>PRJ-003</t>
        </is>
      </c>
      <c r="B66" s="22" t="inlineStr">
        <is>
          <t>TB DOTS Expansion - Karachi South</t>
        </is>
      </c>
      <c r="C66" s="22" t="inlineStr">
        <is>
          <t>Jan-2025</t>
        </is>
      </c>
      <c r="D66" s="23" t="n">
        <v>1565432.35</v>
      </c>
      <c r="E66" s="23" t="n">
        <v>3764</v>
      </c>
      <c r="F66" s="25" t="n">
        <v>415.9</v>
      </c>
      <c r="G66" s="23" t="n">
        <v>6553</v>
      </c>
      <c r="H66" s="25" t="n">
        <v>238.89</v>
      </c>
    </row>
    <row r="67">
      <c r="A67" s="22" t="inlineStr">
        <is>
          <t>PRJ-003</t>
        </is>
      </c>
      <c r="B67" s="22" t="inlineStr">
        <is>
          <t>TB DOTS Expansion - Karachi South</t>
        </is>
      </c>
      <c r="C67" s="22" t="inlineStr">
        <is>
          <t>Feb-2025</t>
        </is>
      </c>
      <c r="D67" s="23" t="n">
        <v>1112988.52</v>
      </c>
      <c r="E67" s="23" t="n">
        <v>3895</v>
      </c>
      <c r="F67" s="25" t="n">
        <v>285.75</v>
      </c>
      <c r="G67" s="23" t="n">
        <v>5982</v>
      </c>
      <c r="H67" s="25" t="n">
        <v>186.06</v>
      </c>
    </row>
    <row r="68">
      <c r="A68" s="22" t="inlineStr">
        <is>
          <t>PRJ-003</t>
        </is>
      </c>
      <c r="B68" s="22" t="inlineStr">
        <is>
          <t>TB DOTS Expansion - Karachi South</t>
        </is>
      </c>
      <c r="C68" s="22" t="inlineStr">
        <is>
          <t>Mar-2025</t>
        </is>
      </c>
      <c r="D68" s="23" t="n">
        <v>937680.05</v>
      </c>
      <c r="E68" s="23" t="n">
        <v>4056</v>
      </c>
      <c r="F68" s="25" t="n">
        <v>231.18</v>
      </c>
      <c r="G68" s="23" t="n">
        <v>6594</v>
      </c>
      <c r="H68" s="25" t="n">
        <v>142.2</v>
      </c>
    </row>
    <row r="69">
      <c r="A69" s="22" t="inlineStr">
        <is>
          <t>PRJ-003</t>
        </is>
      </c>
      <c r="B69" s="22" t="inlineStr">
        <is>
          <t>TB DOTS Expansion - Karachi South</t>
        </is>
      </c>
      <c r="C69" s="22" t="inlineStr">
        <is>
          <t>Apr-2025</t>
        </is>
      </c>
      <c r="D69" s="23" t="n">
        <v>985220</v>
      </c>
      <c r="E69" s="23" t="n">
        <v>4462</v>
      </c>
      <c r="F69" s="25" t="n">
        <v>220.8</v>
      </c>
      <c r="G69" s="23" t="n">
        <v>8810</v>
      </c>
      <c r="H69" s="25" t="n">
        <v>111.83</v>
      </c>
    </row>
    <row r="70">
      <c r="A70" s="22" t="inlineStr">
        <is>
          <t>PRJ-003</t>
        </is>
      </c>
      <c r="B70" s="22" t="inlineStr">
        <is>
          <t>TB DOTS Expansion - Karachi South</t>
        </is>
      </c>
      <c r="C70" s="22" t="inlineStr">
        <is>
          <t>May-2025</t>
        </is>
      </c>
      <c r="D70" s="23" t="n">
        <v>952672.48</v>
      </c>
      <c r="E70" s="23" t="n">
        <v>3877</v>
      </c>
      <c r="F70" s="25" t="n">
        <v>245.72</v>
      </c>
      <c r="G70" s="23" t="n">
        <v>7870</v>
      </c>
      <c r="H70" s="25" t="n">
        <v>121.05</v>
      </c>
    </row>
    <row r="71">
      <c r="A71" s="22" t="inlineStr">
        <is>
          <t>PRJ-003</t>
        </is>
      </c>
      <c r="B71" s="22" t="inlineStr">
        <is>
          <t>TB DOTS Expansion - Karachi South</t>
        </is>
      </c>
      <c r="C71" s="22" t="inlineStr">
        <is>
          <t>Jun-2025</t>
        </is>
      </c>
      <c r="D71" s="23" t="n">
        <v>866394.1</v>
      </c>
      <c r="E71" s="23" t="n">
        <v>3692</v>
      </c>
      <c r="F71" s="25" t="n">
        <v>234.67</v>
      </c>
      <c r="G71" s="23" t="n">
        <v>6799</v>
      </c>
      <c r="H71" s="25" t="n">
        <v>127.43</v>
      </c>
    </row>
    <row r="72">
      <c r="A72" s="22" t="inlineStr">
        <is>
          <t>PRJ-003</t>
        </is>
      </c>
      <c r="B72" s="22" t="inlineStr">
        <is>
          <t>TB DOTS Expansion - Karachi South</t>
        </is>
      </c>
      <c r="C72" s="22" t="inlineStr">
        <is>
          <t>Jul-2025</t>
        </is>
      </c>
      <c r="D72" s="23" t="n">
        <v>1234101.14</v>
      </c>
      <c r="E72" s="23" t="n">
        <v>4044</v>
      </c>
      <c r="F72" s="25" t="n">
        <v>305.17</v>
      </c>
      <c r="G72" s="23" t="n">
        <v>5999</v>
      </c>
      <c r="H72" s="25" t="n">
        <v>205.72</v>
      </c>
    </row>
    <row r="73">
      <c r="A73" s="22" t="inlineStr">
        <is>
          <t>PRJ-003</t>
        </is>
      </c>
      <c r="B73" s="22" t="inlineStr">
        <is>
          <t>TB DOTS Expansion - Karachi South</t>
        </is>
      </c>
      <c r="C73" s="22" t="inlineStr">
        <is>
          <t>Aug-2025</t>
        </is>
      </c>
      <c r="D73" s="23" t="n">
        <v>1690965.83</v>
      </c>
      <c r="E73" s="23" t="n">
        <v>5334</v>
      </c>
      <c r="F73" s="25" t="n">
        <v>317.02</v>
      </c>
      <c r="G73" s="23" t="n">
        <v>8201</v>
      </c>
      <c r="H73" s="25" t="n">
        <v>206.19</v>
      </c>
    </row>
    <row r="74">
      <c r="A74" s="22" t="inlineStr">
        <is>
          <t>PRJ-003</t>
        </is>
      </c>
      <c r="B74" s="22" t="inlineStr">
        <is>
          <t>TB DOTS Expansion - Karachi South</t>
        </is>
      </c>
      <c r="C74" s="22" t="inlineStr">
        <is>
          <t>Sep-2025</t>
        </is>
      </c>
      <c r="D74" s="23" t="n">
        <v>1862956.62</v>
      </c>
      <c r="E74" s="23" t="n">
        <v>4928</v>
      </c>
      <c r="F74" s="25" t="n">
        <v>378.04</v>
      </c>
      <c r="G74" s="23" t="n">
        <v>9748</v>
      </c>
      <c r="H74" s="25" t="n">
        <v>191.11</v>
      </c>
    </row>
    <row r="75">
      <c r="A75" s="22" t="inlineStr">
        <is>
          <t>PRJ-003</t>
        </is>
      </c>
      <c r="B75" s="22" t="inlineStr">
        <is>
          <t>TB DOTS Expansion - Karachi South</t>
        </is>
      </c>
      <c r="C75" s="22" t="inlineStr">
        <is>
          <t>Oct-2025</t>
        </is>
      </c>
      <c r="D75" s="23" t="n">
        <v>1181677.37</v>
      </c>
      <c r="E75" s="23" t="n">
        <v>4375</v>
      </c>
      <c r="F75" s="25" t="n">
        <v>270.1</v>
      </c>
      <c r="G75" s="23" t="n">
        <v>8611</v>
      </c>
      <c r="H75" s="25" t="n">
        <v>137.23</v>
      </c>
    </row>
    <row r="76">
      <c r="A76" s="22" t="inlineStr">
        <is>
          <t>PRJ-003</t>
        </is>
      </c>
      <c r="B76" s="22" t="inlineStr">
        <is>
          <t>TB DOTS Expansion - Karachi South</t>
        </is>
      </c>
      <c r="C76" s="22" t="inlineStr">
        <is>
          <t>Nov-2025</t>
        </is>
      </c>
      <c r="D76" s="23" t="n">
        <v>845521.58</v>
      </c>
      <c r="E76" s="23" t="n">
        <v>4271</v>
      </c>
      <c r="F76" s="25" t="n">
        <v>197.97</v>
      </c>
      <c r="G76" s="23" t="n">
        <v>6258</v>
      </c>
      <c r="H76" s="25" t="n">
        <v>135.11</v>
      </c>
    </row>
    <row r="77">
      <c r="A77" s="22" t="inlineStr">
        <is>
          <t>PRJ-003</t>
        </is>
      </c>
      <c r="B77" s="22" t="inlineStr">
        <is>
          <t>TB DOTS Expansion - Karachi South</t>
        </is>
      </c>
      <c r="C77" s="22" t="inlineStr">
        <is>
          <t>Dec-2025</t>
        </is>
      </c>
      <c r="D77" s="23" t="n">
        <v>1314813.26</v>
      </c>
      <c r="E77" s="23" t="n">
        <v>3478</v>
      </c>
      <c r="F77" s="25" t="n">
        <v>378.04</v>
      </c>
      <c r="G77" s="23" t="n">
        <v>6912</v>
      </c>
      <c r="H77" s="25" t="n">
        <v>190.22</v>
      </c>
    </row>
    <row r="78">
      <c r="A78" s="22" t="inlineStr">
        <is>
          <t>PRJ-003</t>
        </is>
      </c>
      <c r="B78" s="22" t="inlineStr">
        <is>
          <t>TB DOTS Expansion - Karachi South</t>
        </is>
      </c>
      <c r="C78" s="22" t="inlineStr">
        <is>
          <t>Jan-2026</t>
        </is>
      </c>
      <c r="D78" s="23" t="n">
        <v>1442459.83</v>
      </c>
      <c r="E78" s="23" t="n">
        <v>4930</v>
      </c>
      <c r="F78" s="25" t="n">
        <v>292.59</v>
      </c>
      <c r="G78" s="23" t="n">
        <v>7510</v>
      </c>
      <c r="H78" s="25" t="n">
        <v>192.07</v>
      </c>
    </row>
    <row r="79">
      <c r="A79" s="22" t="inlineStr">
        <is>
          <t>PRJ-003</t>
        </is>
      </c>
      <c r="B79" s="22" t="inlineStr">
        <is>
          <t>TB DOTS Expansion - Karachi South</t>
        </is>
      </c>
      <c r="C79" s="22" t="inlineStr">
        <is>
          <t>Feb-2026</t>
        </is>
      </c>
      <c r="D79" s="23" t="n">
        <v>1382416.62</v>
      </c>
      <c r="E79" s="23" t="n">
        <v>4002</v>
      </c>
      <c r="F79" s="25" t="n">
        <v>345.43</v>
      </c>
      <c r="G79" s="23" t="n">
        <v>5623</v>
      </c>
      <c r="H79" s="25" t="n">
        <v>245.85</v>
      </c>
    </row>
    <row r="80">
      <c r="A80" s="22" t="inlineStr">
        <is>
          <t>PRJ-003</t>
        </is>
      </c>
      <c r="B80" s="22" t="inlineStr">
        <is>
          <t>TB DOTS Expansion - Karachi South</t>
        </is>
      </c>
      <c r="C80" s="22" t="inlineStr">
        <is>
          <t>Mar-2026</t>
        </is>
      </c>
      <c r="D80" s="23" t="n">
        <v>789998.96</v>
      </c>
      <c r="E80" s="23" t="n">
        <v>2520</v>
      </c>
      <c r="F80" s="25" t="n">
        <v>313.49</v>
      </c>
      <c r="G80" s="23" t="n">
        <v>4295</v>
      </c>
      <c r="H80" s="25" t="n">
        <v>183.93</v>
      </c>
    </row>
    <row r="81">
      <c r="A81" s="22" t="inlineStr">
        <is>
          <t>PRJ-003</t>
        </is>
      </c>
      <c r="B81" s="22" t="inlineStr">
        <is>
          <t>TB DOTS Expansion - Karachi South</t>
        </is>
      </c>
      <c r="C81" s="22" t="inlineStr">
        <is>
          <t>Apr-2026</t>
        </is>
      </c>
      <c r="D81" s="23" t="n">
        <v>1093664.17</v>
      </c>
      <c r="E81" s="23" t="n">
        <v>4767</v>
      </c>
      <c r="F81" s="25" t="n">
        <v>229.42</v>
      </c>
      <c r="G81" s="23" t="n">
        <v>8653</v>
      </c>
      <c r="H81" s="25" t="n">
        <v>126.39</v>
      </c>
    </row>
    <row r="82">
      <c r="A82" s="22" t="inlineStr">
        <is>
          <t>PRJ-003</t>
        </is>
      </c>
      <c r="B82" s="22" t="inlineStr">
        <is>
          <t>TB DOTS Expansion - Karachi South</t>
        </is>
      </c>
      <c r="C82" s="22" t="inlineStr">
        <is>
          <t>May-2026</t>
        </is>
      </c>
      <c r="D82" s="23" t="n">
        <v>1048602.98</v>
      </c>
      <c r="E82" s="23" t="n">
        <v>4436</v>
      </c>
      <c r="F82" s="25" t="n">
        <v>236.38</v>
      </c>
      <c r="G82" s="23" t="n">
        <v>9995</v>
      </c>
      <c r="H82" s="25" t="n">
        <v>104.91</v>
      </c>
    </row>
    <row r="83">
      <c r="A83" s="22" t="inlineStr">
        <is>
          <t>PRJ-003</t>
        </is>
      </c>
      <c r="B83" s="22" t="inlineStr">
        <is>
          <t>TB DOTS Expansion - Karachi South</t>
        </is>
      </c>
      <c r="C83" s="22" t="inlineStr">
        <is>
          <t>Jun-2026</t>
        </is>
      </c>
      <c r="D83" s="23" t="n">
        <v>1146875.31</v>
      </c>
      <c r="E83" s="23" t="n">
        <v>3291</v>
      </c>
      <c r="F83" s="25" t="n">
        <v>348.49</v>
      </c>
      <c r="G83" s="23" t="n">
        <v>5869</v>
      </c>
      <c r="H83" s="25" t="n">
        <v>195.41</v>
      </c>
    </row>
    <row r="84">
      <c r="A84" s="22" t="inlineStr">
        <is>
          <t>PRJ-003</t>
        </is>
      </c>
      <c r="B84" s="22" t="inlineStr">
        <is>
          <t>TB DOTS Expansion - Karachi South</t>
        </is>
      </c>
      <c r="C84" s="22" t="inlineStr">
        <is>
          <t>Jul-2026</t>
        </is>
      </c>
      <c r="D84" s="23" t="n">
        <v>1726275.48</v>
      </c>
      <c r="E84" s="23" t="n">
        <v>4054</v>
      </c>
      <c r="F84" s="25" t="n">
        <v>425.82</v>
      </c>
      <c r="G84" s="23" t="n">
        <v>7100</v>
      </c>
      <c r="H84" s="25" t="n">
        <v>243.14</v>
      </c>
    </row>
    <row r="85">
      <c r="A85" s="22" t="inlineStr">
        <is>
          <t>PRJ-003</t>
        </is>
      </c>
      <c r="B85" s="22" t="inlineStr">
        <is>
          <t>TB DOTS Expansion - Karachi South</t>
        </is>
      </c>
      <c r="C85" s="22" t="inlineStr">
        <is>
          <t>Aug-2026</t>
        </is>
      </c>
      <c r="D85" s="23" t="n">
        <v>1525155.72</v>
      </c>
      <c r="E85" s="23" t="n">
        <v>3500</v>
      </c>
      <c r="F85" s="25" t="n">
        <v>435.76</v>
      </c>
      <c r="G85" s="23" t="n">
        <v>6821</v>
      </c>
      <c r="H85" s="25" t="n">
        <v>223.6</v>
      </c>
    </row>
    <row r="86">
      <c r="A86" s="22" t="inlineStr">
        <is>
          <t>PRJ-003</t>
        </is>
      </c>
      <c r="B86" s="22" t="inlineStr">
        <is>
          <t>TB DOTS Expansion - Karachi South</t>
        </is>
      </c>
      <c r="C86" s="22" t="inlineStr">
        <is>
          <t>Sep-2026</t>
        </is>
      </c>
      <c r="D86" s="23" t="n">
        <v>1609753.34</v>
      </c>
      <c r="E86" s="23" t="n">
        <v>3973</v>
      </c>
      <c r="F86" s="25" t="n">
        <v>405.17</v>
      </c>
      <c r="G86" s="23" t="n">
        <v>8651</v>
      </c>
      <c r="H86" s="25" t="n">
        <v>186.08</v>
      </c>
    </row>
    <row r="87">
      <c r="A87" s="22" t="inlineStr">
        <is>
          <t>PRJ-004</t>
        </is>
      </c>
      <c r="B87" s="22" t="inlineStr">
        <is>
          <t>Primary Healthcare Support - Tharparkar</t>
        </is>
      </c>
      <c r="C87" s="22" t="inlineStr">
        <is>
          <t>Oct-2024</t>
        </is>
      </c>
      <c r="D87" s="23" t="n">
        <v>1206475</v>
      </c>
      <c r="E87" s="23" t="n">
        <v>3010</v>
      </c>
      <c r="F87" s="25" t="n">
        <v>400.82</v>
      </c>
      <c r="G87" s="23" t="n">
        <v>6852</v>
      </c>
      <c r="H87" s="25" t="n">
        <v>176.08</v>
      </c>
    </row>
    <row r="88">
      <c r="A88" s="22" t="inlineStr">
        <is>
          <t>PRJ-004</t>
        </is>
      </c>
      <c r="B88" s="22" t="inlineStr">
        <is>
          <t>Primary Healthcare Support - Tharparkar</t>
        </is>
      </c>
      <c r="C88" s="22" t="inlineStr">
        <is>
          <t>Nov-2024</t>
        </is>
      </c>
      <c r="D88" s="23" t="n">
        <v>864925.9399999999</v>
      </c>
      <c r="E88" s="23" t="n">
        <v>3118</v>
      </c>
      <c r="F88" s="25" t="n">
        <v>277.4</v>
      </c>
      <c r="G88" s="23" t="n">
        <v>5583</v>
      </c>
      <c r="H88" s="25" t="n">
        <v>154.92</v>
      </c>
    </row>
    <row r="89">
      <c r="A89" s="22" t="inlineStr">
        <is>
          <t>PRJ-004</t>
        </is>
      </c>
      <c r="B89" s="22" t="inlineStr">
        <is>
          <t>Primary Healthcare Support - Tharparkar</t>
        </is>
      </c>
      <c r="C89" s="22" t="inlineStr">
        <is>
          <t>Dec-2024</t>
        </is>
      </c>
      <c r="D89" s="23" t="n">
        <v>1029374.86</v>
      </c>
      <c r="E89" s="23" t="n">
        <v>3567</v>
      </c>
      <c r="F89" s="25" t="n">
        <v>288.58</v>
      </c>
      <c r="G89" s="23" t="n">
        <v>5061</v>
      </c>
      <c r="H89" s="25" t="n">
        <v>203.39</v>
      </c>
    </row>
    <row r="90">
      <c r="A90" s="22" t="inlineStr">
        <is>
          <t>PRJ-004</t>
        </is>
      </c>
      <c r="B90" s="22" t="inlineStr">
        <is>
          <t>Primary Healthcare Support - Tharparkar</t>
        </is>
      </c>
      <c r="C90" s="22" t="inlineStr">
        <is>
          <t>Jan-2025</t>
        </is>
      </c>
      <c r="D90" s="23" t="n">
        <v>1350424.5</v>
      </c>
      <c r="E90" s="23" t="n">
        <v>2315</v>
      </c>
      <c r="F90" s="25" t="n">
        <v>583.34</v>
      </c>
      <c r="G90" s="23" t="n">
        <v>4973</v>
      </c>
      <c r="H90" s="25" t="n">
        <v>271.55</v>
      </c>
    </row>
    <row r="91">
      <c r="A91" s="22" t="inlineStr">
        <is>
          <t>PRJ-004</t>
        </is>
      </c>
      <c r="B91" s="22" t="inlineStr">
        <is>
          <t>Primary Healthcare Support - Tharparkar</t>
        </is>
      </c>
      <c r="C91" s="22" t="inlineStr">
        <is>
          <t>Feb-2025</t>
        </is>
      </c>
      <c r="D91" s="23" t="n">
        <v>1354587.05</v>
      </c>
      <c r="E91" s="23" t="n">
        <v>3514</v>
      </c>
      <c r="F91" s="25" t="n">
        <v>385.48</v>
      </c>
      <c r="G91" s="23" t="n">
        <v>5347</v>
      </c>
      <c r="H91" s="25" t="n">
        <v>253.34</v>
      </c>
    </row>
    <row r="92">
      <c r="A92" s="22" t="inlineStr">
        <is>
          <t>PRJ-004</t>
        </is>
      </c>
      <c r="B92" s="22" t="inlineStr">
        <is>
          <t>Primary Healthcare Support - Tharparkar</t>
        </is>
      </c>
      <c r="C92" s="22" t="inlineStr">
        <is>
          <t>Mar-2025</t>
        </is>
      </c>
      <c r="D92" s="23" t="n">
        <v>921918.48</v>
      </c>
      <c r="E92" s="23" t="n">
        <v>3488</v>
      </c>
      <c r="F92" s="25" t="n">
        <v>264.31</v>
      </c>
      <c r="G92" s="23" t="n">
        <v>4914</v>
      </c>
      <c r="H92" s="25" t="n">
        <v>187.61</v>
      </c>
    </row>
    <row r="93">
      <c r="A93" s="22" t="inlineStr">
        <is>
          <t>PRJ-004</t>
        </is>
      </c>
      <c r="B93" s="22" t="inlineStr">
        <is>
          <t>Primary Healthcare Support - Tharparkar</t>
        </is>
      </c>
      <c r="C93" s="22" t="inlineStr">
        <is>
          <t>Apr-2025</t>
        </is>
      </c>
      <c r="D93" s="23" t="n">
        <v>878256</v>
      </c>
      <c r="E93" s="23" t="n">
        <v>3096</v>
      </c>
      <c r="F93" s="25" t="n">
        <v>283.67</v>
      </c>
      <c r="G93" s="23" t="n">
        <v>6884</v>
      </c>
      <c r="H93" s="25" t="n">
        <v>127.58</v>
      </c>
    </row>
    <row r="94">
      <c r="A94" s="22" t="inlineStr">
        <is>
          <t>PRJ-004</t>
        </is>
      </c>
      <c r="B94" s="22" t="inlineStr">
        <is>
          <t>Primary Healthcare Support - Tharparkar</t>
        </is>
      </c>
      <c r="C94" s="22" t="inlineStr">
        <is>
          <t>May-2025</t>
        </is>
      </c>
      <c r="D94" s="23" t="n">
        <v>850317.2</v>
      </c>
      <c r="E94" s="23" t="n">
        <v>2960</v>
      </c>
      <c r="F94" s="25" t="n">
        <v>287.27</v>
      </c>
      <c r="G94" s="23" t="n">
        <v>4623</v>
      </c>
      <c r="H94" s="25" t="n">
        <v>183.93</v>
      </c>
    </row>
    <row r="95">
      <c r="A95" s="22" t="inlineStr">
        <is>
          <t>PRJ-004</t>
        </is>
      </c>
      <c r="B95" s="22" t="inlineStr">
        <is>
          <t>Primary Healthcare Support - Tharparkar</t>
        </is>
      </c>
      <c r="C95" s="22" t="inlineStr">
        <is>
          <t>Jun-2025</t>
        </is>
      </c>
      <c r="D95" s="23" t="n">
        <v>917803.15</v>
      </c>
      <c r="E95" s="23" t="n">
        <v>3316</v>
      </c>
      <c r="F95" s="25" t="n">
        <v>276.78</v>
      </c>
      <c r="G95" s="23" t="n">
        <v>4992</v>
      </c>
      <c r="H95" s="25" t="n">
        <v>183.85</v>
      </c>
    </row>
    <row r="96">
      <c r="A96" s="22" t="inlineStr">
        <is>
          <t>PRJ-004</t>
        </is>
      </c>
      <c r="B96" s="22" t="inlineStr">
        <is>
          <t>Primary Healthcare Support - Tharparkar</t>
        </is>
      </c>
      <c r="C96" s="22" t="inlineStr">
        <is>
          <t>Jul-2025</t>
        </is>
      </c>
      <c r="D96" s="23" t="n">
        <v>1223748.61</v>
      </c>
      <c r="E96" s="23" t="n">
        <v>2567</v>
      </c>
      <c r="F96" s="25" t="n">
        <v>476.72</v>
      </c>
      <c r="G96" s="23" t="n">
        <v>5458</v>
      </c>
      <c r="H96" s="25" t="n">
        <v>224.21</v>
      </c>
    </row>
    <row r="97">
      <c r="A97" s="22" t="inlineStr">
        <is>
          <t>PRJ-004</t>
        </is>
      </c>
      <c r="B97" s="22" t="inlineStr">
        <is>
          <t>Primary Healthcare Support - Tharparkar</t>
        </is>
      </c>
      <c r="C97" s="22" t="inlineStr">
        <is>
          <t>Aug-2025</t>
        </is>
      </c>
      <c r="D97" s="23" t="n">
        <v>1920668.75</v>
      </c>
      <c r="E97" s="23" t="n">
        <v>4316</v>
      </c>
      <c r="F97" s="25" t="n">
        <v>445.01</v>
      </c>
      <c r="G97" s="23" t="n">
        <v>7679</v>
      </c>
      <c r="H97" s="25" t="n">
        <v>250.12</v>
      </c>
    </row>
    <row r="98">
      <c r="A98" s="22" t="inlineStr">
        <is>
          <t>PRJ-004</t>
        </is>
      </c>
      <c r="B98" s="22" t="inlineStr">
        <is>
          <t>Primary Healthcare Support - Tharparkar</t>
        </is>
      </c>
      <c r="C98" s="22" t="inlineStr">
        <is>
          <t>Sep-2025</t>
        </is>
      </c>
      <c r="D98" s="23" t="n">
        <v>2032984.11</v>
      </c>
      <c r="E98" s="23" t="n">
        <v>4182</v>
      </c>
      <c r="F98" s="25" t="n">
        <v>486.13</v>
      </c>
      <c r="G98" s="23" t="n">
        <v>6015</v>
      </c>
      <c r="H98" s="25" t="n">
        <v>337.99</v>
      </c>
    </row>
    <row r="99">
      <c r="A99" s="22" t="inlineStr">
        <is>
          <t>PRJ-004</t>
        </is>
      </c>
      <c r="B99" s="22" t="inlineStr">
        <is>
          <t>Primary Healthcare Support - Tharparkar</t>
        </is>
      </c>
      <c r="C99" s="22" t="inlineStr">
        <is>
          <t>Oct-2025</t>
        </is>
      </c>
      <c r="D99" s="23" t="n">
        <v>1229221.93</v>
      </c>
      <c r="E99" s="23" t="n">
        <v>3464</v>
      </c>
      <c r="F99" s="25" t="n">
        <v>354.86</v>
      </c>
      <c r="G99" s="23" t="n">
        <v>5307</v>
      </c>
      <c r="H99" s="25" t="n">
        <v>231.62</v>
      </c>
    </row>
    <row r="100">
      <c r="A100" s="22" t="inlineStr">
        <is>
          <t>PRJ-004</t>
        </is>
      </c>
      <c r="B100" s="22" t="inlineStr">
        <is>
          <t>Primary Healthcare Support - Tharparkar</t>
        </is>
      </c>
      <c r="C100" s="22" t="inlineStr">
        <is>
          <t>Nov-2025</t>
        </is>
      </c>
      <c r="D100" s="23" t="n">
        <v>1167122.51</v>
      </c>
      <c r="E100" s="23" t="n">
        <v>2539</v>
      </c>
      <c r="F100" s="25" t="n">
        <v>459.68</v>
      </c>
      <c r="G100" s="23" t="n">
        <v>5259</v>
      </c>
      <c r="H100" s="25" t="n">
        <v>221.93</v>
      </c>
    </row>
    <row r="101">
      <c r="A101" s="22" t="inlineStr">
        <is>
          <t>PRJ-004</t>
        </is>
      </c>
      <c r="B101" s="22" t="inlineStr">
        <is>
          <t>Primary Healthcare Support - Tharparkar</t>
        </is>
      </c>
      <c r="C101" s="22" t="inlineStr">
        <is>
          <t>Dec-2025</t>
        </is>
      </c>
      <c r="D101" s="23" t="n">
        <v>1247079.84</v>
      </c>
      <c r="E101" s="23" t="n">
        <v>3612</v>
      </c>
      <c r="F101" s="25" t="n">
        <v>345.26</v>
      </c>
      <c r="G101" s="23" t="n">
        <v>6914</v>
      </c>
      <c r="H101" s="25" t="n">
        <v>180.37</v>
      </c>
    </row>
    <row r="102">
      <c r="A102" s="22" t="inlineStr">
        <is>
          <t>PRJ-004</t>
        </is>
      </c>
      <c r="B102" s="22" t="inlineStr">
        <is>
          <t>Primary Healthcare Support - Tharparkar</t>
        </is>
      </c>
      <c r="C102" s="22" t="inlineStr">
        <is>
          <t>Jan-2026</t>
        </is>
      </c>
      <c r="D102" s="23" t="n">
        <v>1752761.37</v>
      </c>
      <c r="E102" s="23" t="n">
        <v>3405</v>
      </c>
      <c r="F102" s="25" t="n">
        <v>514.76</v>
      </c>
      <c r="G102" s="23" t="n">
        <v>7269</v>
      </c>
      <c r="H102" s="25" t="n">
        <v>241.13</v>
      </c>
    </row>
    <row r="103">
      <c r="A103" s="22" t="inlineStr">
        <is>
          <t>PRJ-004</t>
        </is>
      </c>
      <c r="B103" s="22" t="inlineStr">
        <is>
          <t>Primary Healthcare Support - Tharparkar</t>
        </is>
      </c>
      <c r="C103" s="22" t="inlineStr">
        <is>
          <t>Feb-2026</t>
        </is>
      </c>
      <c r="D103" s="23" t="n">
        <v>1275063.71</v>
      </c>
      <c r="E103" s="23" t="n">
        <v>3105</v>
      </c>
      <c r="F103" s="25" t="n">
        <v>410.65</v>
      </c>
      <c r="G103" s="23" t="n">
        <v>6882</v>
      </c>
      <c r="H103" s="25" t="n">
        <v>185.28</v>
      </c>
    </row>
    <row r="104">
      <c r="A104" s="22" t="inlineStr">
        <is>
          <t>PRJ-004</t>
        </is>
      </c>
      <c r="B104" s="22" t="inlineStr">
        <is>
          <t>Primary Healthcare Support - Tharparkar</t>
        </is>
      </c>
      <c r="C104" s="22" t="inlineStr">
        <is>
          <t>Mar-2026</t>
        </is>
      </c>
      <c r="D104" s="23" t="n">
        <v>851912.25</v>
      </c>
      <c r="E104" s="23" t="n">
        <v>2100</v>
      </c>
      <c r="F104" s="25" t="n">
        <v>405.67</v>
      </c>
      <c r="G104" s="23" t="n">
        <v>3225</v>
      </c>
      <c r="H104" s="25" t="n">
        <v>264.16</v>
      </c>
    </row>
    <row r="105">
      <c r="A105" s="22" t="inlineStr">
        <is>
          <t>PRJ-004</t>
        </is>
      </c>
      <c r="B105" s="22" t="inlineStr">
        <is>
          <t>Primary Healthcare Support - Tharparkar</t>
        </is>
      </c>
      <c r="C105" s="22" t="inlineStr">
        <is>
          <t>Apr-2026</t>
        </is>
      </c>
      <c r="D105" s="23" t="n">
        <v>1248420.4</v>
      </c>
      <c r="E105" s="23" t="n">
        <v>2921</v>
      </c>
      <c r="F105" s="25" t="n">
        <v>427.39</v>
      </c>
      <c r="G105" s="23" t="n">
        <v>4092</v>
      </c>
      <c r="H105" s="25" t="n">
        <v>305.09</v>
      </c>
    </row>
    <row r="106">
      <c r="A106" s="22" t="inlineStr">
        <is>
          <t>PRJ-004</t>
        </is>
      </c>
      <c r="B106" s="22" t="inlineStr">
        <is>
          <t>Primary Healthcare Support - Tharparkar</t>
        </is>
      </c>
      <c r="C106" s="22" t="inlineStr">
        <is>
          <t>May-2026</t>
        </is>
      </c>
      <c r="D106" s="23" t="n">
        <v>922053.5699999999</v>
      </c>
      <c r="E106" s="23" t="n">
        <v>3124</v>
      </c>
      <c r="F106" s="25" t="n">
        <v>295.15</v>
      </c>
      <c r="G106" s="23" t="n">
        <v>6048</v>
      </c>
      <c r="H106" s="25" t="n">
        <v>152.46</v>
      </c>
    </row>
    <row r="107">
      <c r="A107" s="22" t="inlineStr">
        <is>
          <t>PRJ-004</t>
        </is>
      </c>
      <c r="B107" s="22" t="inlineStr">
        <is>
          <t>Primary Healthcare Support - Tharparkar</t>
        </is>
      </c>
      <c r="C107" s="22" t="inlineStr">
        <is>
          <t>Jun-2026</t>
        </is>
      </c>
      <c r="D107" s="23" t="n">
        <v>1175531.49</v>
      </c>
      <c r="E107" s="23" t="n">
        <v>3240</v>
      </c>
      <c r="F107" s="25" t="n">
        <v>362.82</v>
      </c>
      <c r="G107" s="23" t="n">
        <v>6918</v>
      </c>
      <c r="H107" s="25" t="n">
        <v>169.92</v>
      </c>
    </row>
    <row r="108">
      <c r="A108" s="22" t="inlineStr">
        <is>
          <t>PRJ-004</t>
        </is>
      </c>
      <c r="B108" s="22" t="inlineStr">
        <is>
          <t>Primary Healthcare Support - Tharparkar</t>
        </is>
      </c>
      <c r="C108" s="22" t="inlineStr">
        <is>
          <t>Jul-2026</t>
        </is>
      </c>
      <c r="D108" s="23" t="n">
        <v>1513770.38</v>
      </c>
      <c r="E108" s="23" t="n">
        <v>4169</v>
      </c>
      <c r="F108" s="25" t="n">
        <v>363.1</v>
      </c>
      <c r="G108" s="23" t="n">
        <v>9168</v>
      </c>
      <c r="H108" s="25" t="n">
        <v>165.11</v>
      </c>
    </row>
    <row r="109">
      <c r="A109" s="22" t="inlineStr">
        <is>
          <t>PRJ-004</t>
        </is>
      </c>
      <c r="B109" s="22" t="inlineStr">
        <is>
          <t>Primary Healthcare Support - Tharparkar</t>
        </is>
      </c>
      <c r="C109" s="22" t="inlineStr">
        <is>
          <t>Aug-2026</t>
        </is>
      </c>
      <c r="D109" s="23" t="n">
        <v>1933462.97</v>
      </c>
      <c r="E109" s="23" t="n">
        <v>2486</v>
      </c>
      <c r="F109" s="25" t="n">
        <v>777.74</v>
      </c>
      <c r="G109" s="23" t="n">
        <v>4061</v>
      </c>
      <c r="H109" s="25" t="n">
        <v>476.11</v>
      </c>
    </row>
    <row r="110">
      <c r="A110" s="22" t="inlineStr">
        <is>
          <t>PRJ-004</t>
        </is>
      </c>
      <c r="B110" s="22" t="inlineStr">
        <is>
          <t>Primary Healthcare Support - Tharparkar</t>
        </is>
      </c>
      <c r="C110" s="22" t="inlineStr">
        <is>
          <t>Sep-2026</t>
        </is>
      </c>
      <c r="D110" s="23" t="n">
        <v>1916732.17</v>
      </c>
      <c r="E110" s="23" t="n">
        <v>3771</v>
      </c>
      <c r="F110" s="25" t="n">
        <v>508.28</v>
      </c>
      <c r="G110" s="23" t="n">
        <v>5706</v>
      </c>
      <c r="H110" s="25" t="n">
        <v>335.92</v>
      </c>
    </row>
    <row r="111">
      <c r="A111" s="22" t="inlineStr">
        <is>
          <t>PRJ-005</t>
        </is>
      </c>
      <c r="B111" s="22" t="inlineStr">
        <is>
          <t>Flood Response &amp; Health Recovery - Dadu</t>
        </is>
      </c>
      <c r="C111" s="22" t="inlineStr">
        <is>
          <t>Jul-2024</t>
        </is>
      </c>
      <c r="D111" s="23" t="n">
        <v>775176.62</v>
      </c>
      <c r="E111" s="23" t="n">
        <v>1986</v>
      </c>
      <c r="F111" s="25" t="n">
        <v>390.32</v>
      </c>
      <c r="G111" s="23" t="n">
        <v>3098</v>
      </c>
      <c r="H111" s="25" t="n">
        <v>250.22</v>
      </c>
    </row>
    <row r="112">
      <c r="A112" s="22" t="inlineStr">
        <is>
          <t>PRJ-005</t>
        </is>
      </c>
      <c r="B112" s="22" t="inlineStr">
        <is>
          <t>Flood Response &amp; Health Recovery - Dadu</t>
        </is>
      </c>
      <c r="C112" s="22" t="inlineStr">
        <is>
          <t>Aug-2024</t>
        </is>
      </c>
      <c r="D112" s="23" t="n">
        <v>644576.6899999999</v>
      </c>
      <c r="E112" s="23" t="n">
        <v>2602</v>
      </c>
      <c r="F112" s="25" t="n">
        <v>247.72</v>
      </c>
      <c r="G112" s="23" t="n">
        <v>5824</v>
      </c>
      <c r="H112" s="25" t="n">
        <v>110.68</v>
      </c>
    </row>
    <row r="113">
      <c r="A113" s="22" t="inlineStr">
        <is>
          <t>PRJ-005</t>
        </is>
      </c>
      <c r="B113" s="22" t="inlineStr">
        <is>
          <t>Flood Response &amp; Health Recovery - Dadu</t>
        </is>
      </c>
      <c r="C113" s="22" t="inlineStr">
        <is>
          <t>Sep-2024</t>
        </is>
      </c>
      <c r="D113" s="23" t="n">
        <v>902258.95</v>
      </c>
      <c r="E113" s="23" t="n">
        <v>2113</v>
      </c>
      <c r="F113" s="25" t="n">
        <v>427</v>
      </c>
      <c r="G113" s="23" t="n">
        <v>3135</v>
      </c>
      <c r="H113" s="25" t="n">
        <v>287.8</v>
      </c>
    </row>
    <row r="114">
      <c r="A114" s="22" t="inlineStr">
        <is>
          <t>PRJ-005</t>
        </is>
      </c>
      <c r="B114" s="22" t="inlineStr">
        <is>
          <t>Flood Response &amp; Health Recovery - Dadu</t>
        </is>
      </c>
      <c r="C114" s="22" t="inlineStr">
        <is>
          <t>Oct-2024</t>
        </is>
      </c>
      <c r="D114" s="23" t="n">
        <v>600316.38</v>
      </c>
      <c r="E114" s="23" t="n">
        <v>2043</v>
      </c>
      <c r="F114" s="25" t="n">
        <v>293.84</v>
      </c>
      <c r="G114" s="23" t="n">
        <v>3462</v>
      </c>
      <c r="H114" s="25" t="n">
        <v>173.4</v>
      </c>
    </row>
    <row r="115">
      <c r="A115" s="22" t="inlineStr">
        <is>
          <t>PRJ-005</t>
        </is>
      </c>
      <c r="B115" s="22" t="inlineStr">
        <is>
          <t>Flood Response &amp; Health Recovery - Dadu</t>
        </is>
      </c>
      <c r="C115" s="22" t="inlineStr">
        <is>
          <t>Nov-2024</t>
        </is>
      </c>
      <c r="D115" s="23" t="n">
        <v>724246.87</v>
      </c>
      <c r="E115" s="23" t="n">
        <v>2028</v>
      </c>
      <c r="F115" s="25" t="n">
        <v>357.12</v>
      </c>
      <c r="G115" s="23" t="n">
        <v>3125</v>
      </c>
      <c r="H115" s="25" t="n">
        <v>231.76</v>
      </c>
    </row>
    <row r="116">
      <c r="A116" s="22" t="inlineStr">
        <is>
          <t>PRJ-005</t>
        </is>
      </c>
      <c r="B116" s="22" t="inlineStr">
        <is>
          <t>Flood Response &amp; Health Recovery - Dadu</t>
        </is>
      </c>
      <c r="C116" s="22" t="inlineStr">
        <is>
          <t>Dec-2024</t>
        </is>
      </c>
      <c r="D116" s="23" t="n">
        <v>612870.54</v>
      </c>
      <c r="E116" s="23" t="n">
        <v>2126</v>
      </c>
      <c r="F116" s="25" t="n">
        <v>288.27</v>
      </c>
      <c r="G116" s="23" t="n">
        <v>4006</v>
      </c>
      <c r="H116" s="25" t="n">
        <v>152.99</v>
      </c>
    </row>
    <row r="117">
      <c r="A117" s="22" t="inlineStr">
        <is>
          <t>PRJ-005</t>
        </is>
      </c>
      <c r="B117" s="22" t="inlineStr">
        <is>
          <t>Flood Response &amp; Health Recovery - Dadu</t>
        </is>
      </c>
      <c r="C117" s="22" t="inlineStr">
        <is>
          <t>Jan-2025</t>
        </is>
      </c>
      <c r="D117" s="23" t="n">
        <v>655744.05</v>
      </c>
      <c r="E117" s="23" t="n">
        <v>2010</v>
      </c>
      <c r="F117" s="25" t="n">
        <v>326.24</v>
      </c>
      <c r="G117" s="23" t="n">
        <v>2937</v>
      </c>
      <c r="H117" s="25" t="n">
        <v>223.27</v>
      </c>
    </row>
    <row r="118">
      <c r="A118" s="22" t="inlineStr">
        <is>
          <t>PRJ-005</t>
        </is>
      </c>
      <c r="B118" s="22" t="inlineStr">
        <is>
          <t>Flood Response &amp; Health Recovery - Dadu</t>
        </is>
      </c>
      <c r="C118" s="22" t="inlineStr">
        <is>
          <t>Feb-2025</t>
        </is>
      </c>
      <c r="D118" s="23" t="n">
        <v>668619.21</v>
      </c>
      <c r="E118" s="23" t="n">
        <v>2564</v>
      </c>
      <c r="F118" s="25" t="n">
        <v>260.77</v>
      </c>
      <c r="G118" s="23" t="n">
        <v>5048</v>
      </c>
      <c r="H118" s="25" t="n">
        <v>132.45</v>
      </c>
    </row>
    <row r="119">
      <c r="A119" s="22" t="inlineStr">
        <is>
          <t>PRJ-005</t>
        </is>
      </c>
      <c r="B119" s="22" t="inlineStr">
        <is>
          <t>Flood Response &amp; Health Recovery - Dadu</t>
        </is>
      </c>
      <c r="C119" s="22" t="inlineStr">
        <is>
          <t>Mar-2025</t>
        </is>
      </c>
      <c r="D119" s="23" t="n">
        <v>582678.42</v>
      </c>
      <c r="E119" s="23" t="n">
        <v>2775</v>
      </c>
      <c r="F119" s="25" t="n">
        <v>209.97</v>
      </c>
      <c r="G119" s="23" t="n">
        <v>4070</v>
      </c>
      <c r="H119" s="25" t="n">
        <v>143.16</v>
      </c>
    </row>
    <row r="120">
      <c r="A120" s="22" t="inlineStr">
        <is>
          <t>PRJ-005</t>
        </is>
      </c>
      <c r="B120" s="22" t="inlineStr">
        <is>
          <t>Flood Response &amp; Health Recovery - Dadu</t>
        </is>
      </c>
      <c r="C120" s="22" t="inlineStr">
        <is>
          <t>Apr-2025</t>
        </is>
      </c>
      <c r="D120" s="23" t="n">
        <v>549389.84</v>
      </c>
      <c r="E120" s="23" t="n">
        <v>2487</v>
      </c>
      <c r="F120" s="25" t="n">
        <v>220.9</v>
      </c>
      <c r="G120" s="23" t="n">
        <v>5076</v>
      </c>
      <c r="H120" s="25" t="n">
        <v>108.23</v>
      </c>
    </row>
    <row r="121">
      <c r="A121" s="22" t="inlineStr">
        <is>
          <t>PRJ-005</t>
        </is>
      </c>
      <c r="B121" s="22" t="inlineStr">
        <is>
          <t>Flood Response &amp; Health Recovery - Dadu</t>
        </is>
      </c>
      <c r="C121" s="22" t="inlineStr">
        <is>
          <t>May-2025</t>
        </is>
      </c>
      <c r="D121" s="23" t="n">
        <v>731461.48</v>
      </c>
      <c r="E121" s="23" t="n">
        <v>2647</v>
      </c>
      <c r="F121" s="25" t="n">
        <v>276.34</v>
      </c>
      <c r="G121" s="23" t="n">
        <v>5033</v>
      </c>
      <c r="H121" s="25" t="n">
        <v>145.33</v>
      </c>
    </row>
    <row r="122">
      <c r="A122" s="22" t="inlineStr">
        <is>
          <t>PRJ-005</t>
        </is>
      </c>
      <c r="B122" s="22" t="inlineStr">
        <is>
          <t>Flood Response &amp; Health Recovery - Dadu</t>
        </is>
      </c>
      <c r="C122" s="22" t="inlineStr">
        <is>
          <t>Jun-2025</t>
        </is>
      </c>
      <c r="D122" s="23" t="n">
        <v>505961.88</v>
      </c>
      <c r="E122" s="23" t="n">
        <v>2595</v>
      </c>
      <c r="F122" s="25" t="n">
        <v>194.98</v>
      </c>
      <c r="G122" s="23" t="n">
        <v>5137</v>
      </c>
      <c r="H122" s="25" t="n">
        <v>98.48999999999999</v>
      </c>
    </row>
    <row r="123">
      <c r="A123" s="22" t="inlineStr">
        <is>
          <t>PRJ-005</t>
        </is>
      </c>
      <c r="B123" s="22" t="inlineStr">
        <is>
          <t>Flood Response &amp; Health Recovery - Dadu</t>
        </is>
      </c>
      <c r="C123" s="22" t="inlineStr">
        <is>
          <t>Jul-2025</t>
        </is>
      </c>
      <c r="D123" s="23" t="n">
        <v>818755.47</v>
      </c>
      <c r="E123" s="23" t="n">
        <v>2556</v>
      </c>
      <c r="F123" s="25" t="n">
        <v>320.33</v>
      </c>
      <c r="G123" s="23" t="n">
        <v>4190</v>
      </c>
      <c r="H123" s="25" t="n">
        <v>195.41</v>
      </c>
    </row>
    <row r="124">
      <c r="A124" s="22" t="inlineStr">
        <is>
          <t>PRJ-005</t>
        </is>
      </c>
      <c r="B124" s="22" t="inlineStr">
        <is>
          <t>Flood Response &amp; Health Recovery - Dadu</t>
        </is>
      </c>
      <c r="C124" s="22" t="inlineStr">
        <is>
          <t>Aug-2025</t>
        </is>
      </c>
      <c r="D124" s="23" t="n">
        <v>924802.66</v>
      </c>
      <c r="E124" s="23" t="n">
        <v>3683</v>
      </c>
      <c r="F124" s="25" t="n">
        <v>251.1</v>
      </c>
      <c r="G124" s="23" t="n">
        <v>6996</v>
      </c>
      <c r="H124" s="25" t="n">
        <v>132.19</v>
      </c>
    </row>
    <row r="125">
      <c r="A125" s="22" t="inlineStr">
        <is>
          <t>PRJ-005</t>
        </is>
      </c>
      <c r="B125" s="22" t="inlineStr">
        <is>
          <t>Flood Response &amp; Health Recovery - Dadu</t>
        </is>
      </c>
      <c r="C125" s="22" t="inlineStr">
        <is>
          <t>Sep-2025</t>
        </is>
      </c>
      <c r="D125" s="23" t="n">
        <v>905582.4</v>
      </c>
      <c r="E125" s="23" t="n">
        <v>3138</v>
      </c>
      <c r="F125" s="25" t="n">
        <v>288.59</v>
      </c>
      <c r="G125" s="23" t="n">
        <v>4957</v>
      </c>
      <c r="H125" s="25" t="n">
        <v>182.69</v>
      </c>
    </row>
    <row r="126">
      <c r="A126" s="22" t="inlineStr">
        <is>
          <t>PRJ-005</t>
        </is>
      </c>
      <c r="B126" s="22" t="inlineStr">
        <is>
          <t>Flood Response &amp; Health Recovery - Dadu</t>
        </is>
      </c>
      <c r="C126" s="22" t="inlineStr">
        <is>
          <t>Oct-2025</t>
        </is>
      </c>
      <c r="D126" s="23" t="n">
        <v>652853.03</v>
      </c>
      <c r="E126" s="23" t="n">
        <v>3040</v>
      </c>
      <c r="F126" s="25" t="n">
        <v>214.75</v>
      </c>
      <c r="G126" s="23" t="n">
        <v>6653</v>
      </c>
      <c r="H126" s="25" t="n">
        <v>98.13</v>
      </c>
    </row>
    <row r="127">
      <c r="A127" s="22" t="inlineStr">
        <is>
          <t>PRJ-005</t>
        </is>
      </c>
      <c r="B127" s="22" t="inlineStr">
        <is>
          <t>Flood Response &amp; Health Recovery - Dadu</t>
        </is>
      </c>
      <c r="C127" s="22" t="inlineStr">
        <is>
          <t>Nov-2025</t>
        </is>
      </c>
      <c r="D127" s="23" t="n">
        <v>722557.1</v>
      </c>
      <c r="E127" s="23" t="n">
        <v>2000</v>
      </c>
      <c r="F127" s="25" t="n">
        <v>361.28</v>
      </c>
      <c r="G127" s="23" t="n">
        <v>2855</v>
      </c>
      <c r="H127" s="25" t="n">
        <v>253.08</v>
      </c>
    </row>
    <row r="128">
      <c r="A128" s="22" t="inlineStr">
        <is>
          <t>PRJ-005</t>
        </is>
      </c>
      <c r="B128" s="22" t="inlineStr">
        <is>
          <t>Flood Response &amp; Health Recovery - Dadu</t>
        </is>
      </c>
      <c r="C128" s="22" t="inlineStr">
        <is>
          <t>Dec-2025</t>
        </is>
      </c>
      <c r="D128" s="23" t="n">
        <v>675568.54</v>
      </c>
      <c r="E128" s="23" t="n">
        <v>3052</v>
      </c>
      <c r="F128" s="25" t="n">
        <v>221.35</v>
      </c>
      <c r="G128" s="23" t="n">
        <v>5378</v>
      </c>
      <c r="H128" s="25" t="n">
        <v>125.62</v>
      </c>
    </row>
    <row r="129">
      <c r="A129" s="22" t="inlineStr">
        <is>
          <t>PRJ-006</t>
        </is>
      </c>
      <c r="B129" s="22" t="inlineStr">
        <is>
          <t>Rural Health Centre Strengthening - Jamshoro</t>
        </is>
      </c>
      <c r="C129" s="22" t="inlineStr">
        <is>
          <t>Jan-2025</t>
        </is>
      </c>
      <c r="D129" s="23" t="n">
        <v>631798.7</v>
      </c>
      <c r="E129" s="23" t="n">
        <v>2748</v>
      </c>
      <c r="F129" s="25" t="n">
        <v>229.91</v>
      </c>
      <c r="G129" s="23" t="n">
        <v>5631</v>
      </c>
      <c r="H129" s="25" t="n">
        <v>112.2</v>
      </c>
    </row>
    <row r="130">
      <c r="A130" s="22" t="inlineStr">
        <is>
          <t>PRJ-006</t>
        </is>
      </c>
      <c r="B130" s="22" t="inlineStr">
        <is>
          <t>Rural Health Centre Strengthening - Jamshoro</t>
        </is>
      </c>
      <c r="C130" s="22" t="inlineStr">
        <is>
          <t>Feb-2025</t>
        </is>
      </c>
      <c r="D130" s="23" t="n">
        <v>692042.8100000001</v>
      </c>
      <c r="E130" s="23" t="n">
        <v>2553</v>
      </c>
      <c r="F130" s="25" t="n">
        <v>271.07</v>
      </c>
      <c r="G130" s="23" t="n">
        <v>3628</v>
      </c>
      <c r="H130" s="25" t="n">
        <v>190.75</v>
      </c>
    </row>
    <row r="131">
      <c r="A131" s="22" t="inlineStr">
        <is>
          <t>PRJ-006</t>
        </is>
      </c>
      <c r="B131" s="22" t="inlineStr">
        <is>
          <t>Rural Health Centre Strengthening - Jamshoro</t>
        </is>
      </c>
      <c r="C131" s="22" t="inlineStr">
        <is>
          <t>Mar-2025</t>
        </is>
      </c>
      <c r="D131" s="23" t="n">
        <v>489927.39</v>
      </c>
      <c r="E131" s="23" t="n">
        <v>2254</v>
      </c>
      <c r="F131" s="25" t="n">
        <v>217.36</v>
      </c>
      <c r="G131" s="23" t="n">
        <v>4239</v>
      </c>
      <c r="H131" s="25" t="n">
        <v>115.58</v>
      </c>
    </row>
    <row r="132">
      <c r="A132" s="22" t="inlineStr">
        <is>
          <t>PRJ-006</t>
        </is>
      </c>
      <c r="B132" s="22" t="inlineStr">
        <is>
          <t>Rural Health Centre Strengthening - Jamshoro</t>
        </is>
      </c>
      <c r="C132" s="22" t="inlineStr">
        <is>
          <t>Apr-2025</t>
        </is>
      </c>
      <c r="D132" s="23" t="n">
        <v>628346.2</v>
      </c>
      <c r="E132" s="23" t="n">
        <v>2463</v>
      </c>
      <c r="F132" s="25" t="n">
        <v>255.11</v>
      </c>
      <c r="G132" s="23" t="n">
        <v>5538</v>
      </c>
      <c r="H132" s="25" t="n">
        <v>113.46</v>
      </c>
    </row>
    <row r="133">
      <c r="A133" s="22" t="inlineStr">
        <is>
          <t>PRJ-006</t>
        </is>
      </c>
      <c r="B133" s="22" t="inlineStr">
        <is>
          <t>Rural Health Centre Strengthening - Jamshoro</t>
        </is>
      </c>
      <c r="C133" s="22" t="inlineStr">
        <is>
          <t>May-2025</t>
        </is>
      </c>
      <c r="D133" s="23" t="n">
        <v>615706.74</v>
      </c>
      <c r="E133" s="23" t="n">
        <v>2029</v>
      </c>
      <c r="F133" s="25" t="n">
        <v>303.45</v>
      </c>
      <c r="G133" s="23" t="n">
        <v>4130</v>
      </c>
      <c r="H133" s="25" t="n">
        <v>149.08</v>
      </c>
    </row>
    <row r="134">
      <c r="A134" s="22" t="inlineStr">
        <is>
          <t>PRJ-006</t>
        </is>
      </c>
      <c r="B134" s="22" t="inlineStr">
        <is>
          <t>Rural Health Centre Strengthening - Jamshoro</t>
        </is>
      </c>
      <c r="C134" s="22" t="inlineStr">
        <is>
          <t>Jun-2025</t>
        </is>
      </c>
      <c r="D134" s="23" t="n">
        <v>520545.43</v>
      </c>
      <c r="E134" s="23" t="n">
        <v>2140</v>
      </c>
      <c r="F134" s="25" t="n">
        <v>243.25</v>
      </c>
      <c r="G134" s="23" t="n">
        <v>4615</v>
      </c>
      <c r="H134" s="25" t="n">
        <v>112.79</v>
      </c>
    </row>
    <row r="135">
      <c r="A135" s="22" t="inlineStr">
        <is>
          <t>PRJ-006</t>
        </is>
      </c>
      <c r="B135" s="22" t="inlineStr">
        <is>
          <t>Rural Health Centre Strengthening - Jamshoro</t>
        </is>
      </c>
      <c r="C135" s="22" t="inlineStr">
        <is>
          <t>Jul-2025</t>
        </is>
      </c>
      <c r="D135" s="23" t="n">
        <v>673669.11</v>
      </c>
      <c r="E135" s="23" t="n">
        <v>2045</v>
      </c>
      <c r="F135" s="25" t="n">
        <v>329.42</v>
      </c>
      <c r="G135" s="23" t="n">
        <v>4287</v>
      </c>
      <c r="H135" s="25" t="n">
        <v>157.14</v>
      </c>
    </row>
    <row r="136">
      <c r="A136" s="22" t="inlineStr">
        <is>
          <t>PRJ-006</t>
        </is>
      </c>
      <c r="B136" s="22" t="inlineStr">
        <is>
          <t>Rural Health Centre Strengthening - Jamshoro</t>
        </is>
      </c>
      <c r="C136" s="22" t="inlineStr">
        <is>
          <t>Aug-2025</t>
        </is>
      </c>
      <c r="D136" s="23" t="n">
        <v>1217941.46</v>
      </c>
      <c r="E136" s="23" t="n">
        <v>2571</v>
      </c>
      <c r="F136" s="25" t="n">
        <v>473.72</v>
      </c>
      <c r="G136" s="23" t="n">
        <v>4912</v>
      </c>
      <c r="H136" s="25" t="n">
        <v>247.95</v>
      </c>
    </row>
    <row r="137">
      <c r="A137" s="22" t="inlineStr">
        <is>
          <t>PRJ-006</t>
        </is>
      </c>
      <c r="B137" s="22" t="inlineStr">
        <is>
          <t>Rural Health Centre Strengthening - Jamshoro</t>
        </is>
      </c>
      <c r="C137" s="22" t="inlineStr">
        <is>
          <t>Sep-2025</t>
        </is>
      </c>
      <c r="D137" s="23" t="n">
        <v>890671.48</v>
      </c>
      <c r="E137" s="23" t="n">
        <v>2987</v>
      </c>
      <c r="F137" s="25" t="n">
        <v>298.18</v>
      </c>
      <c r="G137" s="23" t="n">
        <v>6589</v>
      </c>
      <c r="H137" s="25" t="n">
        <v>135.18</v>
      </c>
    </row>
    <row r="138">
      <c r="A138" s="22" t="inlineStr">
        <is>
          <t>PRJ-006</t>
        </is>
      </c>
      <c r="B138" s="22" t="inlineStr">
        <is>
          <t>Rural Health Centre Strengthening - Jamshoro</t>
        </is>
      </c>
      <c r="C138" s="22" t="inlineStr">
        <is>
          <t>Oct-2025</t>
        </is>
      </c>
      <c r="D138" s="23" t="n">
        <v>811836.76</v>
      </c>
      <c r="E138" s="23" t="n">
        <v>2590</v>
      </c>
      <c r="F138" s="25" t="n">
        <v>313.45</v>
      </c>
      <c r="G138" s="23" t="n">
        <v>5139</v>
      </c>
      <c r="H138" s="25" t="n">
        <v>157.98</v>
      </c>
    </row>
    <row r="139">
      <c r="A139" s="22" t="inlineStr">
        <is>
          <t>PRJ-006</t>
        </is>
      </c>
      <c r="B139" s="22" t="inlineStr">
        <is>
          <t>Rural Health Centre Strengthening - Jamshoro</t>
        </is>
      </c>
      <c r="C139" s="22" t="inlineStr">
        <is>
          <t>Nov-2025</t>
        </is>
      </c>
      <c r="D139" s="23" t="n">
        <v>524667.5600000001</v>
      </c>
      <c r="E139" s="23" t="n">
        <v>1902</v>
      </c>
      <c r="F139" s="25" t="n">
        <v>275.85</v>
      </c>
      <c r="G139" s="23" t="n">
        <v>3171</v>
      </c>
      <c r="H139" s="25" t="n">
        <v>165.46</v>
      </c>
    </row>
    <row r="140">
      <c r="A140" s="22" t="inlineStr">
        <is>
          <t>PRJ-006</t>
        </is>
      </c>
      <c r="B140" s="22" t="inlineStr">
        <is>
          <t>Rural Health Centre Strengthening - Jamshoro</t>
        </is>
      </c>
      <c r="C140" s="22" t="inlineStr">
        <is>
          <t>Dec-2025</t>
        </is>
      </c>
      <c r="D140" s="23" t="n">
        <v>678875.0699999999</v>
      </c>
      <c r="E140" s="23" t="n">
        <v>2279</v>
      </c>
      <c r="F140" s="25" t="n">
        <v>297.88</v>
      </c>
      <c r="G140" s="23" t="n">
        <v>4095</v>
      </c>
      <c r="H140" s="25" t="n">
        <v>165.78</v>
      </c>
    </row>
    <row r="141">
      <c r="A141" s="22" t="inlineStr">
        <is>
          <t>PRJ-006</t>
        </is>
      </c>
      <c r="B141" s="22" t="inlineStr">
        <is>
          <t>Rural Health Centre Strengthening - Jamshoro</t>
        </is>
      </c>
      <c r="C141" s="22" t="inlineStr">
        <is>
          <t>Jan-2026</t>
        </is>
      </c>
      <c r="D141" s="23" t="n">
        <v>821699.8100000001</v>
      </c>
      <c r="E141" s="23" t="n">
        <v>1840</v>
      </c>
      <c r="F141" s="25" t="n">
        <v>446.58</v>
      </c>
      <c r="G141" s="23" t="n">
        <v>3590</v>
      </c>
      <c r="H141" s="25" t="n">
        <v>228.89</v>
      </c>
    </row>
    <row r="142">
      <c r="A142" s="22" t="inlineStr">
        <is>
          <t>PRJ-006</t>
        </is>
      </c>
      <c r="B142" s="22" t="inlineStr">
        <is>
          <t>Rural Health Centre Strengthening - Jamshoro</t>
        </is>
      </c>
      <c r="C142" s="22" t="inlineStr">
        <is>
          <t>Feb-2026</t>
        </is>
      </c>
      <c r="D142" s="23" t="n">
        <v>795428.04</v>
      </c>
      <c r="E142" s="23" t="n">
        <v>2004</v>
      </c>
      <c r="F142" s="25" t="n">
        <v>396.92</v>
      </c>
      <c r="G142" s="23" t="n">
        <v>3505</v>
      </c>
      <c r="H142" s="25" t="n">
        <v>226.94</v>
      </c>
    </row>
    <row r="143">
      <c r="A143" s="22" t="inlineStr">
        <is>
          <t>PRJ-006</t>
        </is>
      </c>
      <c r="B143" s="22" t="inlineStr">
        <is>
          <t>Rural Health Centre Strengthening - Jamshoro</t>
        </is>
      </c>
      <c r="C143" s="22" t="inlineStr">
        <is>
          <t>Mar-2026</t>
        </is>
      </c>
      <c r="D143" s="23" t="n">
        <v>618462.7</v>
      </c>
      <c r="E143" s="23" t="n">
        <v>1765</v>
      </c>
      <c r="F143" s="25" t="n">
        <v>350.4</v>
      </c>
      <c r="G143" s="23" t="n">
        <v>2525</v>
      </c>
      <c r="H143" s="25" t="n">
        <v>244.94</v>
      </c>
    </row>
    <row r="144">
      <c r="A144" s="22" t="inlineStr">
        <is>
          <t>PRJ-006</t>
        </is>
      </c>
      <c r="B144" s="22" t="inlineStr">
        <is>
          <t>Rural Health Centre Strengthening - Jamshoro</t>
        </is>
      </c>
      <c r="C144" s="22" t="inlineStr">
        <is>
          <t>Apr-2026</t>
        </is>
      </c>
      <c r="D144" s="23" t="n">
        <v>659907.03</v>
      </c>
      <c r="E144" s="23" t="n">
        <v>2949</v>
      </c>
      <c r="F144" s="25" t="n">
        <v>223.77</v>
      </c>
      <c r="G144" s="23" t="n">
        <v>4934</v>
      </c>
      <c r="H144" s="25" t="n">
        <v>133.75</v>
      </c>
    </row>
    <row r="145">
      <c r="A145" s="22" t="inlineStr">
        <is>
          <t>PRJ-006</t>
        </is>
      </c>
      <c r="B145" s="22" t="inlineStr">
        <is>
          <t>Rural Health Centre Strengthening - Jamshoro</t>
        </is>
      </c>
      <c r="C145" s="22" t="inlineStr">
        <is>
          <t>May-2026</t>
        </is>
      </c>
      <c r="D145" s="23" t="n">
        <v>627398.8</v>
      </c>
      <c r="E145" s="23" t="n">
        <v>2221</v>
      </c>
      <c r="F145" s="25" t="n">
        <v>282.48</v>
      </c>
      <c r="G145" s="23" t="n">
        <v>3974</v>
      </c>
      <c r="H145" s="25" t="n">
        <v>157.88</v>
      </c>
    </row>
    <row r="146">
      <c r="A146" s="22" t="inlineStr">
        <is>
          <t>PRJ-006</t>
        </is>
      </c>
      <c r="B146" s="22" t="inlineStr">
        <is>
          <t>Rural Health Centre Strengthening - Jamshoro</t>
        </is>
      </c>
      <c r="C146" s="22" t="inlineStr">
        <is>
          <t>Jun-2026</t>
        </is>
      </c>
      <c r="D146" s="23" t="n">
        <v>610840.4</v>
      </c>
      <c r="E146" s="23" t="n">
        <v>2930</v>
      </c>
      <c r="F146" s="25" t="n">
        <v>208.48</v>
      </c>
      <c r="G146" s="23" t="n">
        <v>6246</v>
      </c>
      <c r="H146" s="25" t="n">
        <v>97.8</v>
      </c>
    </row>
    <row r="147">
      <c r="A147" s="22" t="inlineStr">
        <is>
          <t>PRJ-006</t>
        </is>
      </c>
      <c r="B147" s="22" t="inlineStr">
        <is>
          <t>Rural Health Centre Strengthening - Jamshoro</t>
        </is>
      </c>
      <c r="C147" s="22" t="inlineStr">
        <is>
          <t>Jul-2026</t>
        </is>
      </c>
      <c r="D147" s="23" t="n">
        <v>732389.5</v>
      </c>
      <c r="E147" s="23" t="n">
        <v>3172</v>
      </c>
      <c r="F147" s="25" t="n">
        <v>230.89</v>
      </c>
      <c r="G147" s="23" t="n">
        <v>7121</v>
      </c>
      <c r="H147" s="25" t="n">
        <v>102.85</v>
      </c>
    </row>
    <row r="148">
      <c r="A148" s="22" t="inlineStr">
        <is>
          <t>PRJ-006</t>
        </is>
      </c>
      <c r="B148" s="22" t="inlineStr">
        <is>
          <t>Rural Health Centre Strengthening - Jamshoro</t>
        </is>
      </c>
      <c r="C148" s="22" t="inlineStr">
        <is>
          <t>Aug-2026</t>
        </is>
      </c>
      <c r="D148" s="23" t="n">
        <v>1001495.1</v>
      </c>
      <c r="E148" s="23" t="n">
        <v>2399</v>
      </c>
      <c r="F148" s="25" t="n">
        <v>417.46</v>
      </c>
      <c r="G148" s="23" t="n">
        <v>4094</v>
      </c>
      <c r="H148" s="25" t="n">
        <v>244.63</v>
      </c>
    </row>
    <row r="149">
      <c r="A149" s="22" t="inlineStr">
        <is>
          <t>PRJ-006</t>
        </is>
      </c>
      <c r="B149" s="22" t="inlineStr">
        <is>
          <t>Rural Health Centre Strengthening - Jamshoro</t>
        </is>
      </c>
      <c r="C149" s="22" t="inlineStr">
        <is>
          <t>Sep-2026</t>
        </is>
      </c>
      <c r="D149" s="23" t="n">
        <v>864995.63</v>
      </c>
      <c r="E149" s="23" t="n">
        <v>2176</v>
      </c>
      <c r="F149" s="25" t="n">
        <v>397.52</v>
      </c>
      <c r="G149" s="23" t="n">
        <v>4012</v>
      </c>
      <c r="H149" s="25" t="n">
        <v>215.6</v>
      </c>
    </row>
    <row r="150">
      <c r="A150" s="22" t="inlineStr">
        <is>
          <t>PRJ-007</t>
        </is>
      </c>
      <c r="B150" s="22" t="inlineStr">
        <is>
          <t>Community Health Worker Programme - Bin Qasim</t>
        </is>
      </c>
      <c r="C150" s="22" t="inlineStr">
        <is>
          <t>Jul-2024</t>
        </is>
      </c>
      <c r="D150" s="23" t="n">
        <v>510933.11</v>
      </c>
      <c r="E150" s="23" t="n">
        <v>2207</v>
      </c>
      <c r="F150" s="25" t="n">
        <v>231.51</v>
      </c>
      <c r="G150" s="23" t="n">
        <v>4827</v>
      </c>
      <c r="H150" s="25" t="n">
        <v>105.85</v>
      </c>
    </row>
    <row r="151">
      <c r="A151" s="22" t="inlineStr">
        <is>
          <t>PRJ-007</t>
        </is>
      </c>
      <c r="B151" s="22" t="inlineStr">
        <is>
          <t>Community Health Worker Programme - Bin Qasim</t>
        </is>
      </c>
      <c r="C151" s="22" t="inlineStr">
        <is>
          <t>Aug-2024</t>
        </is>
      </c>
      <c r="D151" s="23" t="n">
        <v>623944.4</v>
      </c>
      <c r="E151" s="23" t="n">
        <v>2234</v>
      </c>
      <c r="F151" s="25" t="n">
        <v>279.29</v>
      </c>
      <c r="G151" s="23" t="n">
        <v>3253</v>
      </c>
      <c r="H151" s="25" t="n">
        <v>191.81</v>
      </c>
    </row>
    <row r="152">
      <c r="A152" s="22" t="inlineStr">
        <is>
          <t>PRJ-007</t>
        </is>
      </c>
      <c r="B152" s="22" t="inlineStr">
        <is>
          <t>Community Health Worker Programme - Bin Qasim</t>
        </is>
      </c>
      <c r="C152" s="22" t="inlineStr">
        <is>
          <t>Sep-2024</t>
        </is>
      </c>
      <c r="D152" s="23" t="n">
        <v>628084.88</v>
      </c>
      <c r="E152" s="23" t="n">
        <v>1546</v>
      </c>
      <c r="F152" s="25" t="n">
        <v>406.26</v>
      </c>
      <c r="G152" s="23" t="n">
        <v>2260</v>
      </c>
      <c r="H152" s="25" t="n">
        <v>277.91</v>
      </c>
    </row>
    <row r="153">
      <c r="A153" s="22" t="inlineStr">
        <is>
          <t>PRJ-007</t>
        </is>
      </c>
      <c r="B153" s="22" t="inlineStr">
        <is>
          <t>Community Health Worker Programme - Bin Qasim</t>
        </is>
      </c>
      <c r="C153" s="22" t="inlineStr">
        <is>
          <t>Oct-2024</t>
        </is>
      </c>
      <c r="D153" s="23" t="n">
        <v>519032.39</v>
      </c>
      <c r="E153" s="23" t="n">
        <v>1839</v>
      </c>
      <c r="F153" s="25" t="n">
        <v>282.24</v>
      </c>
      <c r="G153" s="23" t="n">
        <v>3787</v>
      </c>
      <c r="H153" s="25" t="n">
        <v>137.06</v>
      </c>
    </row>
    <row r="154">
      <c r="A154" s="22" t="inlineStr">
        <is>
          <t>PRJ-007</t>
        </is>
      </c>
      <c r="B154" s="22" t="inlineStr">
        <is>
          <t>Community Health Worker Programme - Bin Qasim</t>
        </is>
      </c>
      <c r="C154" s="22" t="inlineStr">
        <is>
          <t>Nov-2024</t>
        </is>
      </c>
      <c r="D154" s="23" t="n">
        <v>312621.27</v>
      </c>
      <c r="E154" s="23" t="n">
        <v>1829</v>
      </c>
      <c r="F154" s="25" t="n">
        <v>170.92</v>
      </c>
      <c r="G154" s="23" t="n">
        <v>4132</v>
      </c>
      <c r="H154" s="25" t="n">
        <v>75.66</v>
      </c>
    </row>
    <row r="155">
      <c r="A155" s="22" t="inlineStr">
        <is>
          <t>PRJ-007</t>
        </is>
      </c>
      <c r="B155" s="22" t="inlineStr">
        <is>
          <t>Community Health Worker Programme - Bin Qasim</t>
        </is>
      </c>
      <c r="C155" s="22" t="inlineStr">
        <is>
          <t>Dec-2024</t>
        </is>
      </c>
      <c r="D155" s="23" t="n">
        <v>460224.85</v>
      </c>
      <c r="E155" s="23" t="n">
        <v>1924</v>
      </c>
      <c r="F155" s="25" t="n">
        <v>239.2</v>
      </c>
      <c r="G155" s="23" t="n">
        <v>3628</v>
      </c>
      <c r="H155" s="25" t="n">
        <v>126.85</v>
      </c>
    </row>
    <row r="156">
      <c r="A156" s="22" t="inlineStr">
        <is>
          <t>PRJ-007</t>
        </is>
      </c>
      <c r="B156" s="22" t="inlineStr">
        <is>
          <t>Community Health Worker Programme - Bin Qasim</t>
        </is>
      </c>
      <c r="C156" s="22" t="inlineStr">
        <is>
          <t>Jan-2025</t>
        </is>
      </c>
      <c r="D156" s="23" t="n">
        <v>462943.06</v>
      </c>
      <c r="E156" s="23" t="n">
        <v>1944</v>
      </c>
      <c r="F156" s="25" t="n">
        <v>238.14</v>
      </c>
      <c r="G156" s="23" t="n">
        <v>4445</v>
      </c>
      <c r="H156" s="25" t="n">
        <v>104.15</v>
      </c>
    </row>
    <row r="157">
      <c r="A157" s="22" t="inlineStr">
        <is>
          <t>PRJ-007</t>
        </is>
      </c>
      <c r="B157" s="22" t="inlineStr">
        <is>
          <t>Community Health Worker Programme - Bin Qasim</t>
        </is>
      </c>
      <c r="C157" s="22" t="inlineStr">
        <is>
          <t>Feb-2025</t>
        </is>
      </c>
      <c r="D157" s="23" t="n">
        <v>630299.1899999999</v>
      </c>
      <c r="E157" s="23" t="n">
        <v>2329</v>
      </c>
      <c r="F157" s="25" t="n">
        <v>270.63</v>
      </c>
      <c r="G157" s="23" t="n">
        <v>4380</v>
      </c>
      <c r="H157" s="25" t="n">
        <v>143.9</v>
      </c>
    </row>
    <row r="158">
      <c r="A158" s="22" t="inlineStr">
        <is>
          <t>PRJ-007</t>
        </is>
      </c>
      <c r="B158" s="22" t="inlineStr">
        <is>
          <t>Community Health Worker Programme - Bin Qasim</t>
        </is>
      </c>
      <c r="C158" s="22" t="inlineStr">
        <is>
          <t>Mar-2025</t>
        </is>
      </c>
      <c r="D158" s="23" t="n">
        <v>443686.81</v>
      </c>
      <c r="E158" s="23" t="n">
        <v>2321</v>
      </c>
      <c r="F158" s="25" t="n">
        <v>191.16</v>
      </c>
      <c r="G158" s="23" t="n">
        <v>4962</v>
      </c>
      <c r="H158" s="25" t="n">
        <v>89.42</v>
      </c>
    </row>
    <row r="159">
      <c r="A159" s="22" t="inlineStr">
        <is>
          <t>PRJ-007</t>
        </is>
      </c>
      <c r="B159" s="22" t="inlineStr">
        <is>
          <t>Community Health Worker Programme - Bin Qasim</t>
        </is>
      </c>
      <c r="C159" s="22" t="inlineStr">
        <is>
          <t>Apr-2025</t>
        </is>
      </c>
      <c r="D159" s="23" t="n">
        <v>472106.45</v>
      </c>
      <c r="E159" s="23" t="n">
        <v>2121</v>
      </c>
      <c r="F159" s="25" t="n">
        <v>222.59</v>
      </c>
      <c r="G159" s="23" t="n">
        <v>3915</v>
      </c>
      <c r="H159" s="25" t="n">
        <v>120.59</v>
      </c>
    </row>
    <row r="160">
      <c r="A160" s="22" t="inlineStr">
        <is>
          <t>PRJ-007</t>
        </is>
      </c>
      <c r="B160" s="22" t="inlineStr">
        <is>
          <t>Community Health Worker Programme - Bin Qasim</t>
        </is>
      </c>
      <c r="C160" s="22" t="inlineStr">
        <is>
          <t>May-2025</t>
        </is>
      </c>
      <c r="D160" s="23" t="n">
        <v>385331.57</v>
      </c>
      <c r="E160" s="23" t="n">
        <v>1561</v>
      </c>
      <c r="F160" s="25" t="n">
        <v>246.85</v>
      </c>
      <c r="G160" s="23" t="n">
        <v>2424</v>
      </c>
      <c r="H160" s="25" t="n">
        <v>158.97</v>
      </c>
    </row>
    <row r="161">
      <c r="A161" s="22" t="inlineStr">
        <is>
          <t>PRJ-007</t>
        </is>
      </c>
      <c r="B161" s="22" t="inlineStr">
        <is>
          <t>Community Health Worker Programme - Bin Qasim</t>
        </is>
      </c>
      <c r="C161" s="22" t="inlineStr">
        <is>
          <t>Jun-2025</t>
        </is>
      </c>
      <c r="D161" s="23" t="n">
        <v>523409.44</v>
      </c>
      <c r="E161" s="23" t="n">
        <v>1898</v>
      </c>
      <c r="F161" s="25" t="n">
        <v>275.77</v>
      </c>
      <c r="G161" s="23" t="n">
        <v>3378</v>
      </c>
      <c r="H161" s="25" t="n">
        <v>154.95</v>
      </c>
    </row>
    <row r="162">
      <c r="A162" s="22" t="inlineStr">
        <is>
          <t>PRJ-007</t>
        </is>
      </c>
      <c r="B162" s="22" t="inlineStr">
        <is>
          <t>Community Health Worker Programme - Bin Qasim</t>
        </is>
      </c>
      <c r="C162" s="22" t="inlineStr">
        <is>
          <t>Jul-2025</t>
        </is>
      </c>
      <c r="D162" s="23" t="n">
        <v>559751.48</v>
      </c>
      <c r="E162" s="23" t="n">
        <v>1780</v>
      </c>
      <c r="F162" s="25" t="n">
        <v>314.47</v>
      </c>
      <c r="G162" s="23" t="n">
        <v>2918</v>
      </c>
      <c r="H162" s="25" t="n">
        <v>191.83</v>
      </c>
    </row>
    <row r="163">
      <c r="A163" s="22" t="inlineStr">
        <is>
          <t>PRJ-007</t>
        </is>
      </c>
      <c r="B163" s="22" t="inlineStr">
        <is>
          <t>Community Health Worker Programme - Bin Qasim</t>
        </is>
      </c>
      <c r="C163" s="22" t="inlineStr">
        <is>
          <t>Aug-2025</t>
        </is>
      </c>
      <c r="D163" s="23" t="n">
        <v>955716.83</v>
      </c>
      <c r="E163" s="23" t="n">
        <v>2297</v>
      </c>
      <c r="F163" s="25" t="n">
        <v>416.07</v>
      </c>
      <c r="G163" s="23" t="n">
        <v>5158</v>
      </c>
      <c r="H163" s="25" t="n">
        <v>185.29</v>
      </c>
    </row>
    <row r="164">
      <c r="A164" s="22" t="inlineStr">
        <is>
          <t>PRJ-007</t>
        </is>
      </c>
      <c r="B164" s="22" t="inlineStr">
        <is>
          <t>Community Health Worker Programme - Bin Qasim</t>
        </is>
      </c>
      <c r="C164" s="22" t="inlineStr">
        <is>
          <t>Sep-2025</t>
        </is>
      </c>
      <c r="D164" s="23" t="n">
        <v>704792.14</v>
      </c>
      <c r="E164" s="23" t="n">
        <v>3021</v>
      </c>
      <c r="F164" s="25" t="n">
        <v>233.3</v>
      </c>
      <c r="G164" s="23" t="n">
        <v>5562</v>
      </c>
      <c r="H164" s="25" t="n">
        <v>126.72</v>
      </c>
    </row>
    <row r="165">
      <c r="A165" s="22" t="inlineStr">
        <is>
          <t>PRJ-007</t>
        </is>
      </c>
      <c r="B165" s="22" t="inlineStr">
        <is>
          <t>Community Health Worker Programme - Bin Qasim</t>
        </is>
      </c>
      <c r="C165" s="22" t="inlineStr">
        <is>
          <t>Oct-2025</t>
        </is>
      </c>
      <c r="D165" s="23" t="n">
        <v>534600.41</v>
      </c>
      <c r="E165" s="23" t="n">
        <v>1694</v>
      </c>
      <c r="F165" s="25" t="n">
        <v>315.58</v>
      </c>
      <c r="G165" s="23" t="n">
        <v>3513</v>
      </c>
      <c r="H165" s="25" t="n">
        <v>152.18</v>
      </c>
    </row>
    <row r="166">
      <c r="A166" s="22" t="inlineStr">
        <is>
          <t>PRJ-007</t>
        </is>
      </c>
      <c r="B166" s="22" t="inlineStr">
        <is>
          <t>Community Health Worker Programme - Bin Qasim</t>
        </is>
      </c>
      <c r="C166" s="22" t="inlineStr">
        <is>
          <t>Nov-2025</t>
        </is>
      </c>
      <c r="D166" s="23" t="n">
        <v>548470.16</v>
      </c>
      <c r="E166" s="23" t="n">
        <v>2105</v>
      </c>
      <c r="F166" s="25" t="n">
        <v>260.56</v>
      </c>
      <c r="G166" s="23" t="n">
        <v>3790</v>
      </c>
      <c r="H166" s="25" t="n">
        <v>144.72</v>
      </c>
    </row>
    <row r="167">
      <c r="A167" s="22" t="inlineStr">
        <is>
          <t>PRJ-007</t>
        </is>
      </c>
      <c r="B167" s="22" t="inlineStr">
        <is>
          <t>Community Health Worker Programme - Bin Qasim</t>
        </is>
      </c>
      <c r="C167" s="22" t="inlineStr">
        <is>
          <t>Dec-2025</t>
        </is>
      </c>
      <c r="D167" s="23" t="n">
        <v>554786.2</v>
      </c>
      <c r="E167" s="23" t="n">
        <v>2402</v>
      </c>
      <c r="F167" s="25" t="n">
        <v>230.97</v>
      </c>
      <c r="G167" s="23" t="n">
        <v>5077</v>
      </c>
      <c r="H167" s="25" t="n">
        <v>109.27</v>
      </c>
    </row>
    <row r="168">
      <c r="A168" s="22" t="inlineStr">
        <is>
          <t>PRJ-007</t>
        </is>
      </c>
      <c r="B168" s="22" t="inlineStr">
        <is>
          <t>Community Health Worker Programme - Bin Qasim</t>
        </is>
      </c>
      <c r="C168" s="22" t="inlineStr">
        <is>
          <t>Jan-2026</t>
        </is>
      </c>
      <c r="D168" s="23" t="n">
        <v>633289.49</v>
      </c>
      <c r="E168" s="23" t="n">
        <v>1749</v>
      </c>
      <c r="F168" s="25" t="n">
        <v>362.09</v>
      </c>
      <c r="G168" s="23" t="n">
        <v>3174</v>
      </c>
      <c r="H168" s="25" t="n">
        <v>199.52</v>
      </c>
    </row>
    <row r="169">
      <c r="A169" s="22" t="inlineStr">
        <is>
          <t>PRJ-007</t>
        </is>
      </c>
      <c r="B169" s="22" t="inlineStr">
        <is>
          <t>Community Health Worker Programme - Bin Qasim</t>
        </is>
      </c>
      <c r="C169" s="22" t="inlineStr">
        <is>
          <t>Feb-2026</t>
        </is>
      </c>
      <c r="D169" s="23" t="n">
        <v>573095.85</v>
      </c>
      <c r="E169" s="23" t="n">
        <v>2474</v>
      </c>
      <c r="F169" s="25" t="n">
        <v>231.65</v>
      </c>
      <c r="G169" s="23" t="n">
        <v>5625</v>
      </c>
      <c r="H169" s="25" t="n">
        <v>101.88</v>
      </c>
    </row>
    <row r="170">
      <c r="A170" s="22" t="inlineStr">
        <is>
          <t>PRJ-007</t>
        </is>
      </c>
      <c r="B170" s="22" t="inlineStr">
        <is>
          <t>Community Health Worker Programme - Bin Qasim</t>
        </is>
      </c>
      <c r="C170" s="22" t="inlineStr">
        <is>
          <t>Mar-2026</t>
        </is>
      </c>
      <c r="D170" s="23" t="n">
        <v>458032.07</v>
      </c>
      <c r="E170" s="23" t="n">
        <v>1783</v>
      </c>
      <c r="F170" s="25" t="n">
        <v>256.89</v>
      </c>
      <c r="G170" s="23" t="n">
        <v>3237</v>
      </c>
      <c r="H170" s="25" t="n">
        <v>141.5</v>
      </c>
    </row>
    <row r="171">
      <c r="A171" s="22" t="inlineStr">
        <is>
          <t>PRJ-007</t>
        </is>
      </c>
      <c r="B171" s="22" t="inlineStr">
        <is>
          <t>Community Health Worker Programme - Bin Qasim</t>
        </is>
      </c>
      <c r="C171" s="22" t="inlineStr">
        <is>
          <t>Apr-2026</t>
        </is>
      </c>
      <c r="D171" s="23" t="n">
        <v>432045.42</v>
      </c>
      <c r="E171" s="23" t="n">
        <v>1895</v>
      </c>
      <c r="F171" s="25" t="n">
        <v>227.99</v>
      </c>
      <c r="G171" s="23" t="n">
        <v>3475</v>
      </c>
      <c r="H171" s="25" t="n">
        <v>124.33</v>
      </c>
    </row>
    <row r="172">
      <c r="A172" s="22" t="inlineStr">
        <is>
          <t>PRJ-007</t>
        </is>
      </c>
      <c r="B172" s="22" t="inlineStr">
        <is>
          <t>Community Health Worker Programme - Bin Qasim</t>
        </is>
      </c>
      <c r="C172" s="22" t="inlineStr">
        <is>
          <t>May-2026</t>
        </is>
      </c>
      <c r="D172" s="23" t="n">
        <v>553953.5600000001</v>
      </c>
      <c r="E172" s="23" t="n">
        <v>1804</v>
      </c>
      <c r="F172" s="25" t="n">
        <v>307.07</v>
      </c>
      <c r="G172" s="23" t="n">
        <v>3414</v>
      </c>
      <c r="H172" s="25" t="n">
        <v>162.26</v>
      </c>
    </row>
    <row r="173">
      <c r="A173" s="22" t="inlineStr">
        <is>
          <t>PRJ-007</t>
        </is>
      </c>
      <c r="B173" s="22" t="inlineStr">
        <is>
          <t>Community Health Worker Programme - Bin Qasim</t>
        </is>
      </c>
      <c r="C173" s="22" t="inlineStr">
        <is>
          <t>Jun-2026</t>
        </is>
      </c>
      <c r="D173" s="23" t="n">
        <v>651165.2</v>
      </c>
      <c r="E173" s="23" t="n">
        <v>2412</v>
      </c>
      <c r="F173" s="25" t="n">
        <v>269.97</v>
      </c>
      <c r="G173" s="23" t="n">
        <v>4484</v>
      </c>
      <c r="H173" s="25" t="n">
        <v>145.22</v>
      </c>
    </row>
    <row r="174">
      <c r="A174" s="22" t="inlineStr">
        <is>
          <t>PRJ-008</t>
        </is>
      </c>
      <c r="B174" s="22" t="inlineStr">
        <is>
          <t>Emergency Obstetric Care - Lyari</t>
        </is>
      </c>
      <c r="C174" s="22" t="inlineStr">
        <is>
          <t>Jan-2025</t>
        </is>
      </c>
      <c r="D174" s="23" t="n">
        <v>696056.92</v>
      </c>
      <c r="E174" s="23" t="n">
        <v>2436</v>
      </c>
      <c r="F174" s="25" t="n">
        <v>285.74</v>
      </c>
      <c r="G174" s="23" t="n">
        <v>5134</v>
      </c>
      <c r="H174" s="25" t="n">
        <v>135.58</v>
      </c>
    </row>
    <row r="175">
      <c r="A175" s="22" t="inlineStr">
        <is>
          <t>PRJ-008</t>
        </is>
      </c>
      <c r="B175" s="22" t="inlineStr">
        <is>
          <t>Emergency Obstetric Care - Lyari</t>
        </is>
      </c>
      <c r="C175" s="22" t="inlineStr">
        <is>
          <t>Feb-2025</t>
        </is>
      </c>
      <c r="D175" s="23" t="n">
        <v>836118.8</v>
      </c>
      <c r="E175" s="23" t="n">
        <v>1972</v>
      </c>
      <c r="F175" s="25" t="n">
        <v>424</v>
      </c>
      <c r="G175" s="23" t="n">
        <v>3347</v>
      </c>
      <c r="H175" s="25" t="n">
        <v>249.81</v>
      </c>
    </row>
    <row r="176">
      <c r="A176" s="22" t="inlineStr">
        <is>
          <t>PRJ-008</t>
        </is>
      </c>
      <c r="B176" s="22" t="inlineStr">
        <is>
          <t>Emergency Obstetric Care - Lyari</t>
        </is>
      </c>
      <c r="C176" s="22" t="inlineStr">
        <is>
          <t>Mar-2025</t>
        </is>
      </c>
      <c r="D176" s="23" t="n">
        <v>748131.61</v>
      </c>
      <c r="E176" s="23" t="n">
        <v>1983</v>
      </c>
      <c r="F176" s="25" t="n">
        <v>377.27</v>
      </c>
      <c r="G176" s="23" t="n">
        <v>4030</v>
      </c>
      <c r="H176" s="25" t="n">
        <v>185.64</v>
      </c>
    </row>
    <row r="177">
      <c r="A177" s="22" t="inlineStr">
        <is>
          <t>PRJ-008</t>
        </is>
      </c>
      <c r="B177" s="22" t="inlineStr">
        <is>
          <t>Emergency Obstetric Care - Lyari</t>
        </is>
      </c>
      <c r="C177" s="22" t="inlineStr">
        <is>
          <t>Apr-2025</t>
        </is>
      </c>
      <c r="D177" s="23" t="n">
        <v>567643.37</v>
      </c>
      <c r="E177" s="23" t="n">
        <v>1713</v>
      </c>
      <c r="F177" s="25" t="n">
        <v>331.37</v>
      </c>
      <c r="G177" s="23" t="n">
        <v>3531</v>
      </c>
      <c r="H177" s="25" t="n">
        <v>160.76</v>
      </c>
    </row>
    <row r="178">
      <c r="A178" s="22" t="inlineStr">
        <is>
          <t>PRJ-008</t>
        </is>
      </c>
      <c r="B178" s="22" t="inlineStr">
        <is>
          <t>Emergency Obstetric Care - Lyari</t>
        </is>
      </c>
      <c r="C178" s="22" t="inlineStr">
        <is>
          <t>May-2025</t>
        </is>
      </c>
      <c r="D178" s="23" t="n">
        <v>588142.62</v>
      </c>
      <c r="E178" s="23" t="n">
        <v>2251</v>
      </c>
      <c r="F178" s="25" t="n">
        <v>261.28</v>
      </c>
      <c r="G178" s="23" t="n">
        <v>5082</v>
      </c>
      <c r="H178" s="25" t="n">
        <v>115.73</v>
      </c>
    </row>
    <row r="179">
      <c r="A179" s="22" t="inlineStr">
        <is>
          <t>PRJ-008</t>
        </is>
      </c>
      <c r="B179" s="22" t="inlineStr">
        <is>
          <t>Emergency Obstetric Care - Lyari</t>
        </is>
      </c>
      <c r="C179" s="22" t="inlineStr">
        <is>
          <t>Jun-2025</t>
        </is>
      </c>
      <c r="D179" s="23" t="n">
        <v>761273.66</v>
      </c>
      <c r="E179" s="23" t="n">
        <v>1881</v>
      </c>
      <c r="F179" s="25" t="n">
        <v>404.72</v>
      </c>
      <c r="G179" s="23" t="n">
        <v>2976</v>
      </c>
      <c r="H179" s="25" t="n">
        <v>255.8</v>
      </c>
    </row>
    <row r="180">
      <c r="A180" s="22" t="inlineStr">
        <is>
          <t>PRJ-008</t>
        </is>
      </c>
      <c r="B180" s="22" t="inlineStr">
        <is>
          <t>Emergency Obstetric Care - Lyari</t>
        </is>
      </c>
      <c r="C180" s="22" t="inlineStr">
        <is>
          <t>Jul-2025</t>
        </is>
      </c>
      <c r="D180" s="23" t="n">
        <v>822882.5</v>
      </c>
      <c r="E180" s="23" t="n">
        <v>2105</v>
      </c>
      <c r="F180" s="25" t="n">
        <v>390.92</v>
      </c>
      <c r="G180" s="23" t="n">
        <v>3075</v>
      </c>
      <c r="H180" s="25" t="n">
        <v>267.6</v>
      </c>
    </row>
    <row r="181">
      <c r="A181" s="22" t="inlineStr">
        <is>
          <t>PRJ-008</t>
        </is>
      </c>
      <c r="B181" s="22" t="inlineStr">
        <is>
          <t>Emergency Obstetric Care - Lyari</t>
        </is>
      </c>
      <c r="C181" s="22" t="inlineStr">
        <is>
          <t>Aug-2025</t>
        </is>
      </c>
      <c r="D181" s="23" t="n">
        <v>1274524.74</v>
      </c>
      <c r="E181" s="23" t="n">
        <v>3174</v>
      </c>
      <c r="F181" s="25" t="n">
        <v>401.55</v>
      </c>
      <c r="G181" s="23" t="n">
        <v>4934</v>
      </c>
      <c r="H181" s="25" t="n">
        <v>258.31</v>
      </c>
    </row>
    <row r="182">
      <c r="A182" s="22" t="inlineStr">
        <is>
          <t>PRJ-008</t>
        </is>
      </c>
      <c r="B182" s="22" t="inlineStr">
        <is>
          <t>Emergency Obstetric Care - Lyari</t>
        </is>
      </c>
      <c r="C182" s="22" t="inlineStr">
        <is>
          <t>Sep-2025</t>
        </is>
      </c>
      <c r="D182" s="23" t="n">
        <v>1076820.84</v>
      </c>
      <c r="E182" s="23" t="n">
        <v>2902</v>
      </c>
      <c r="F182" s="25" t="n">
        <v>371.06</v>
      </c>
      <c r="G182" s="23" t="n">
        <v>4837</v>
      </c>
      <c r="H182" s="25" t="n">
        <v>222.62</v>
      </c>
    </row>
    <row r="183">
      <c r="A183" s="22" t="inlineStr">
        <is>
          <t>PRJ-008</t>
        </is>
      </c>
      <c r="B183" s="22" t="inlineStr">
        <is>
          <t>Emergency Obstetric Care - Lyari</t>
        </is>
      </c>
      <c r="C183" s="22" t="inlineStr">
        <is>
          <t>Oct-2025</t>
        </is>
      </c>
      <c r="D183" s="23" t="n">
        <v>670884.88</v>
      </c>
      <c r="E183" s="23" t="n">
        <v>2507</v>
      </c>
      <c r="F183" s="25" t="n">
        <v>267.6</v>
      </c>
      <c r="G183" s="23" t="n">
        <v>4145</v>
      </c>
      <c r="H183" s="25" t="n">
        <v>161.85</v>
      </c>
    </row>
    <row r="184">
      <c r="A184" s="22" t="inlineStr">
        <is>
          <t>PRJ-008</t>
        </is>
      </c>
      <c r="B184" s="22" t="inlineStr">
        <is>
          <t>Emergency Obstetric Care - Lyari</t>
        </is>
      </c>
      <c r="C184" s="22" t="inlineStr">
        <is>
          <t>Nov-2025</t>
        </is>
      </c>
      <c r="D184" s="23" t="n">
        <v>624662.89</v>
      </c>
      <c r="E184" s="23" t="n">
        <v>1843</v>
      </c>
      <c r="F184" s="25" t="n">
        <v>338.94</v>
      </c>
      <c r="G184" s="23" t="n">
        <v>4027</v>
      </c>
      <c r="H184" s="25" t="n">
        <v>155.12</v>
      </c>
    </row>
    <row r="185">
      <c r="A185" s="22" t="inlineStr">
        <is>
          <t>PRJ-008</t>
        </is>
      </c>
      <c r="B185" s="22" t="inlineStr">
        <is>
          <t>Emergency Obstetric Care - Lyari</t>
        </is>
      </c>
      <c r="C185" s="22" t="inlineStr">
        <is>
          <t>Dec-2025</t>
        </is>
      </c>
      <c r="D185" s="23" t="n">
        <v>836987.6899999999</v>
      </c>
      <c r="E185" s="23" t="n">
        <v>1779</v>
      </c>
      <c r="F185" s="25" t="n">
        <v>470.48</v>
      </c>
      <c r="G185" s="23" t="n">
        <v>3703</v>
      </c>
      <c r="H185" s="25" t="n">
        <v>226.03</v>
      </c>
    </row>
    <row r="186">
      <c r="A186" s="22" t="inlineStr">
        <is>
          <t>PRJ-008</t>
        </is>
      </c>
      <c r="B186" s="22" t="inlineStr">
        <is>
          <t>Emergency Obstetric Care - Lyari</t>
        </is>
      </c>
      <c r="C186" s="22" t="inlineStr">
        <is>
          <t>Jan-2026</t>
        </is>
      </c>
      <c r="D186" s="23" t="n">
        <v>880977.78</v>
      </c>
      <c r="E186" s="23" t="n">
        <v>2450</v>
      </c>
      <c r="F186" s="25" t="n">
        <v>359.58</v>
      </c>
      <c r="G186" s="23" t="n">
        <v>5341</v>
      </c>
      <c r="H186" s="25" t="n">
        <v>164.95</v>
      </c>
    </row>
    <row r="187">
      <c r="A187" s="22" t="inlineStr">
        <is>
          <t>PRJ-008</t>
        </is>
      </c>
      <c r="B187" s="22" t="inlineStr">
        <is>
          <t>Emergency Obstetric Care - Lyari</t>
        </is>
      </c>
      <c r="C187" s="22" t="inlineStr">
        <is>
          <t>Feb-2026</t>
        </is>
      </c>
      <c r="D187" s="23" t="n">
        <v>914392.25</v>
      </c>
      <c r="E187" s="23" t="n">
        <v>2559</v>
      </c>
      <c r="F187" s="25" t="n">
        <v>357.32</v>
      </c>
      <c r="G187" s="23" t="n">
        <v>4716</v>
      </c>
      <c r="H187" s="25" t="n">
        <v>193.89</v>
      </c>
    </row>
    <row r="188">
      <c r="A188" s="22" t="inlineStr">
        <is>
          <t>PRJ-008</t>
        </is>
      </c>
      <c r="B188" s="22" t="inlineStr">
        <is>
          <t>Emergency Obstetric Care - Lyari</t>
        </is>
      </c>
      <c r="C188" s="22" t="inlineStr">
        <is>
          <t>Mar-2026</t>
        </is>
      </c>
      <c r="D188" s="23" t="n">
        <v>539245.74</v>
      </c>
      <c r="E188" s="23" t="n">
        <v>1602</v>
      </c>
      <c r="F188" s="25" t="n">
        <v>336.61</v>
      </c>
      <c r="G188" s="23" t="n">
        <v>2955</v>
      </c>
      <c r="H188" s="25" t="n">
        <v>182.49</v>
      </c>
    </row>
    <row r="189">
      <c r="A189" s="22" t="inlineStr">
        <is>
          <t>PRJ-008</t>
        </is>
      </c>
      <c r="B189" s="22" t="inlineStr">
        <is>
          <t>Emergency Obstetric Care - Lyari</t>
        </is>
      </c>
      <c r="C189" s="22" t="inlineStr">
        <is>
          <t>Apr-2026</t>
        </is>
      </c>
      <c r="D189" s="23" t="n">
        <v>727070.28</v>
      </c>
      <c r="E189" s="23" t="n">
        <v>2028</v>
      </c>
      <c r="F189" s="25" t="n">
        <v>358.52</v>
      </c>
      <c r="G189" s="23" t="n">
        <v>4485</v>
      </c>
      <c r="H189" s="25" t="n">
        <v>162.11</v>
      </c>
    </row>
    <row r="190">
      <c r="A190" s="22" t="inlineStr">
        <is>
          <t>PRJ-008</t>
        </is>
      </c>
      <c r="B190" s="22" t="inlineStr">
        <is>
          <t>Emergency Obstetric Care - Lyari</t>
        </is>
      </c>
      <c r="C190" s="22" t="inlineStr">
        <is>
          <t>May-2026</t>
        </is>
      </c>
      <c r="D190" s="23" t="n">
        <v>607517.2</v>
      </c>
      <c r="E190" s="23" t="n">
        <v>2301</v>
      </c>
      <c r="F190" s="25" t="n">
        <v>264.02</v>
      </c>
      <c r="G190" s="23" t="n">
        <v>5005</v>
      </c>
      <c r="H190" s="25" t="n">
        <v>121.38</v>
      </c>
    </row>
    <row r="191">
      <c r="A191" s="22" t="inlineStr">
        <is>
          <t>PRJ-008</t>
        </is>
      </c>
      <c r="B191" s="22" t="inlineStr">
        <is>
          <t>Emergency Obstetric Care - Lyari</t>
        </is>
      </c>
      <c r="C191" s="22" t="inlineStr">
        <is>
          <t>Jun-2026</t>
        </is>
      </c>
      <c r="D191" s="23" t="n">
        <v>728623.9</v>
      </c>
      <c r="E191" s="23" t="n">
        <v>2281</v>
      </c>
      <c r="F191" s="25" t="n">
        <v>319.43</v>
      </c>
      <c r="G191" s="23" t="n">
        <v>4376</v>
      </c>
      <c r="H191" s="25" t="n">
        <v>166.5</v>
      </c>
    </row>
    <row r="192">
      <c r="A192" s="22" t="inlineStr">
        <is>
          <t>PRJ-008</t>
        </is>
      </c>
      <c r="B192" s="22" t="inlineStr">
        <is>
          <t>Emergency Obstetric Care - Lyari</t>
        </is>
      </c>
      <c r="C192" s="22" t="inlineStr">
        <is>
          <t>Jul-2026</t>
        </is>
      </c>
      <c r="D192" s="23" t="n">
        <v>940595.67</v>
      </c>
      <c r="E192" s="23" t="n">
        <v>2002</v>
      </c>
      <c r="F192" s="25" t="n">
        <v>469.83</v>
      </c>
      <c r="G192" s="23" t="n">
        <v>3715</v>
      </c>
      <c r="H192" s="25" t="n">
        <v>253.19</v>
      </c>
    </row>
    <row r="193">
      <c r="A193" s="22" t="inlineStr">
        <is>
          <t>PRJ-008</t>
        </is>
      </c>
      <c r="B193" s="22" t="inlineStr">
        <is>
          <t>Emergency Obstetric Care - Lyari</t>
        </is>
      </c>
      <c r="C193" s="22" t="inlineStr">
        <is>
          <t>Aug-2026</t>
        </is>
      </c>
      <c r="D193" s="23" t="n">
        <v>930557.15</v>
      </c>
      <c r="E193" s="23" t="n">
        <v>1861</v>
      </c>
      <c r="F193" s="25" t="n">
        <v>500.03</v>
      </c>
      <c r="G193" s="23" t="n">
        <v>2919</v>
      </c>
      <c r="H193" s="25" t="n">
        <v>318.79</v>
      </c>
    </row>
    <row r="194">
      <c r="A194" s="22" t="inlineStr">
        <is>
          <t>PRJ-008</t>
        </is>
      </c>
      <c r="B194" s="22" t="inlineStr">
        <is>
          <t>Emergency Obstetric Care - Lyari</t>
        </is>
      </c>
      <c r="C194" s="22" t="inlineStr">
        <is>
          <t>Sep-2026</t>
        </is>
      </c>
      <c r="D194" s="23" t="n">
        <v>1100738.87</v>
      </c>
      <c r="E194" s="23" t="n">
        <v>1896</v>
      </c>
      <c r="F194" s="25" t="n">
        <v>580.5599999999999</v>
      </c>
      <c r="G194" s="23" t="n">
        <v>3302</v>
      </c>
      <c r="H194" s="25" t="n">
        <v>333.36</v>
      </c>
    </row>
    <row r="195">
      <c r="A195" s="22" t="inlineStr">
        <is>
          <t>PRJ-009</t>
        </is>
      </c>
      <c r="B195" s="22" t="inlineStr">
        <is>
          <t>Hepatitis B &amp; C Screening - Keamari</t>
        </is>
      </c>
      <c r="C195" s="22" t="inlineStr">
        <is>
          <t>Jul-2024</t>
        </is>
      </c>
      <c r="D195" s="23" t="n">
        <v>405632.66</v>
      </c>
      <c r="E195" s="23" t="n">
        <v>1479</v>
      </c>
      <c r="F195" s="25" t="n">
        <v>274.26</v>
      </c>
      <c r="G195" s="23" t="n">
        <v>2794</v>
      </c>
      <c r="H195" s="25" t="n">
        <v>145.18</v>
      </c>
    </row>
    <row r="196">
      <c r="A196" s="22" t="inlineStr">
        <is>
          <t>PRJ-009</t>
        </is>
      </c>
      <c r="B196" s="22" t="inlineStr">
        <is>
          <t>Hepatitis B &amp; C Screening - Keamari</t>
        </is>
      </c>
      <c r="C196" s="22" t="inlineStr">
        <is>
          <t>Aug-2024</t>
        </is>
      </c>
      <c r="D196" s="23" t="n">
        <v>482695.67</v>
      </c>
      <c r="E196" s="23" t="n">
        <v>1206</v>
      </c>
      <c r="F196" s="25" t="n">
        <v>400.25</v>
      </c>
      <c r="G196" s="23" t="n">
        <v>2519</v>
      </c>
      <c r="H196" s="25" t="n">
        <v>191.62</v>
      </c>
    </row>
    <row r="197">
      <c r="A197" s="22" t="inlineStr">
        <is>
          <t>PRJ-009</t>
        </is>
      </c>
      <c r="B197" s="22" t="inlineStr">
        <is>
          <t>Hepatitis B &amp; C Screening - Keamari</t>
        </is>
      </c>
      <c r="C197" s="22" t="inlineStr">
        <is>
          <t>Sep-2024</t>
        </is>
      </c>
      <c r="D197" s="23" t="n">
        <v>359893.71</v>
      </c>
      <c r="E197" s="23" t="n">
        <v>1747</v>
      </c>
      <c r="F197" s="25" t="n">
        <v>206.01</v>
      </c>
      <c r="G197" s="23" t="n">
        <v>3223</v>
      </c>
      <c r="H197" s="25" t="n">
        <v>111.66</v>
      </c>
    </row>
    <row r="198">
      <c r="A198" s="22" t="inlineStr">
        <is>
          <t>PRJ-009</t>
        </is>
      </c>
      <c r="B198" s="22" t="inlineStr">
        <is>
          <t>Hepatitis B &amp; C Screening - Keamari</t>
        </is>
      </c>
      <c r="C198" s="22" t="inlineStr">
        <is>
          <t>Oct-2024</t>
        </is>
      </c>
      <c r="D198" s="23" t="n">
        <v>375799.29</v>
      </c>
      <c r="E198" s="23" t="n">
        <v>1222</v>
      </c>
      <c r="F198" s="25" t="n">
        <v>307.53</v>
      </c>
      <c r="G198" s="23" t="n">
        <v>2454</v>
      </c>
      <c r="H198" s="25" t="n">
        <v>153.14</v>
      </c>
    </row>
    <row r="199">
      <c r="A199" s="22" t="inlineStr">
        <is>
          <t>PRJ-009</t>
        </is>
      </c>
      <c r="B199" s="22" t="inlineStr">
        <is>
          <t>Hepatitis B &amp; C Screening - Keamari</t>
        </is>
      </c>
      <c r="C199" s="22" t="inlineStr">
        <is>
          <t>Nov-2024</t>
        </is>
      </c>
      <c r="D199" s="23" t="n">
        <v>338193.55</v>
      </c>
      <c r="E199" s="23" t="n">
        <v>1574</v>
      </c>
      <c r="F199" s="25" t="n">
        <v>214.86</v>
      </c>
      <c r="G199" s="23" t="n">
        <v>2930</v>
      </c>
      <c r="H199" s="25" t="n">
        <v>115.42</v>
      </c>
    </row>
    <row r="200">
      <c r="A200" s="22" t="inlineStr">
        <is>
          <t>PRJ-009</t>
        </is>
      </c>
      <c r="B200" s="22" t="inlineStr">
        <is>
          <t>Hepatitis B &amp; C Screening - Keamari</t>
        </is>
      </c>
      <c r="C200" s="22" t="inlineStr">
        <is>
          <t>Dec-2024</t>
        </is>
      </c>
      <c r="D200" s="23" t="n">
        <v>279834.01</v>
      </c>
      <c r="E200" s="23" t="n">
        <v>1523</v>
      </c>
      <c r="F200" s="25" t="n">
        <v>183.74</v>
      </c>
      <c r="G200" s="23" t="n">
        <v>2254</v>
      </c>
      <c r="H200" s="25" t="n">
        <v>124.15</v>
      </c>
    </row>
    <row r="201">
      <c r="A201" s="22" t="inlineStr">
        <is>
          <t>PRJ-009</t>
        </is>
      </c>
      <c r="B201" s="22" t="inlineStr">
        <is>
          <t>Hepatitis B &amp; C Screening - Keamari</t>
        </is>
      </c>
      <c r="C201" s="22" t="inlineStr">
        <is>
          <t>Jan-2025</t>
        </is>
      </c>
      <c r="D201" s="23" t="n">
        <v>418298.31</v>
      </c>
      <c r="E201" s="23" t="n">
        <v>1887</v>
      </c>
      <c r="F201" s="25" t="n">
        <v>221.67</v>
      </c>
      <c r="G201" s="23" t="n">
        <v>2648</v>
      </c>
      <c r="H201" s="25" t="n">
        <v>157.97</v>
      </c>
    </row>
    <row r="202">
      <c r="A202" s="22" t="inlineStr">
        <is>
          <t>PRJ-009</t>
        </is>
      </c>
      <c r="B202" s="22" t="inlineStr">
        <is>
          <t>Hepatitis B &amp; C Screening - Keamari</t>
        </is>
      </c>
      <c r="C202" s="22" t="inlineStr">
        <is>
          <t>Feb-2025</t>
        </is>
      </c>
      <c r="D202" s="23" t="n">
        <v>390428.81</v>
      </c>
      <c r="E202" s="23" t="n">
        <v>1268</v>
      </c>
      <c r="F202" s="25" t="n">
        <v>307.91</v>
      </c>
      <c r="G202" s="23" t="n">
        <v>2142</v>
      </c>
      <c r="H202" s="25" t="n">
        <v>182.27</v>
      </c>
    </row>
    <row r="203">
      <c r="A203" s="22" t="inlineStr">
        <is>
          <t>PRJ-009</t>
        </is>
      </c>
      <c r="B203" s="22" t="inlineStr">
        <is>
          <t>Hepatitis B &amp; C Screening - Keamari</t>
        </is>
      </c>
      <c r="C203" s="22" t="inlineStr">
        <is>
          <t>Mar-2025</t>
        </is>
      </c>
      <c r="D203" s="23" t="n">
        <v>290081.69</v>
      </c>
      <c r="E203" s="23" t="n">
        <v>1804</v>
      </c>
      <c r="F203" s="25" t="n">
        <v>160.8</v>
      </c>
      <c r="G203" s="23" t="n">
        <v>3242</v>
      </c>
      <c r="H203" s="25" t="n">
        <v>89.48</v>
      </c>
    </row>
    <row r="204">
      <c r="A204" s="22" t="inlineStr">
        <is>
          <t>PRJ-009</t>
        </is>
      </c>
      <c r="B204" s="22" t="inlineStr">
        <is>
          <t>Hepatitis B &amp; C Screening - Keamari</t>
        </is>
      </c>
      <c r="C204" s="22" t="inlineStr">
        <is>
          <t>Apr-2025</t>
        </is>
      </c>
      <c r="D204" s="23" t="n">
        <v>363117.99</v>
      </c>
      <c r="E204" s="23" t="n">
        <v>1560</v>
      </c>
      <c r="F204" s="25" t="n">
        <v>232.77</v>
      </c>
      <c r="G204" s="23" t="n">
        <v>3547</v>
      </c>
      <c r="H204" s="25" t="n">
        <v>102.37</v>
      </c>
    </row>
    <row r="205">
      <c r="A205" s="22" t="inlineStr">
        <is>
          <t>PRJ-009</t>
        </is>
      </c>
      <c r="B205" s="22" t="inlineStr">
        <is>
          <t>Hepatitis B &amp; C Screening - Keamari</t>
        </is>
      </c>
      <c r="C205" s="22" t="inlineStr">
        <is>
          <t>May-2025</t>
        </is>
      </c>
      <c r="D205" s="23" t="n">
        <v>367564.51</v>
      </c>
      <c r="E205" s="23" t="n">
        <v>1911</v>
      </c>
      <c r="F205" s="25" t="n">
        <v>192.34</v>
      </c>
      <c r="G205" s="23" t="n">
        <v>4182</v>
      </c>
      <c r="H205" s="25" t="n">
        <v>87.89</v>
      </c>
    </row>
    <row r="206">
      <c r="A206" s="22" t="inlineStr">
        <is>
          <t>PRJ-009</t>
        </is>
      </c>
      <c r="B206" s="22" t="inlineStr">
        <is>
          <t>Hepatitis B &amp; C Screening - Keamari</t>
        </is>
      </c>
      <c r="C206" s="22" t="inlineStr">
        <is>
          <t>Jun-2025</t>
        </is>
      </c>
      <c r="D206" s="23" t="n">
        <v>321218.6</v>
      </c>
      <c r="E206" s="23" t="n">
        <v>1966</v>
      </c>
      <c r="F206" s="25" t="n">
        <v>163.39</v>
      </c>
      <c r="G206" s="23" t="n">
        <v>4450</v>
      </c>
      <c r="H206" s="25" t="n">
        <v>72.18000000000001</v>
      </c>
    </row>
    <row r="207">
      <c r="A207" s="22" t="inlineStr">
        <is>
          <t>PRJ-010</t>
        </is>
      </c>
      <c r="B207" s="22" t="inlineStr">
        <is>
          <t>Thalassaemia Support Programme - Gadap</t>
        </is>
      </c>
      <c r="C207" s="22" t="inlineStr">
        <is>
          <t>Jul-2024</t>
        </is>
      </c>
      <c r="D207" s="23" t="n">
        <v>882006.99</v>
      </c>
      <c r="E207" s="23" t="n">
        <v>3012</v>
      </c>
      <c r="F207" s="25" t="n">
        <v>292.83</v>
      </c>
      <c r="G207" s="23" t="n">
        <v>5758</v>
      </c>
      <c r="H207" s="25" t="n">
        <v>153.18</v>
      </c>
    </row>
    <row r="208">
      <c r="A208" s="22" t="inlineStr">
        <is>
          <t>PRJ-010</t>
        </is>
      </c>
      <c r="B208" s="22" t="inlineStr">
        <is>
          <t>Thalassaemia Support Programme - Gadap</t>
        </is>
      </c>
      <c r="C208" s="22" t="inlineStr">
        <is>
          <t>Aug-2024</t>
        </is>
      </c>
      <c r="D208" s="23" t="n">
        <v>713282.28</v>
      </c>
      <c r="E208" s="23" t="n">
        <v>2696</v>
      </c>
      <c r="F208" s="25" t="n">
        <v>264.57</v>
      </c>
      <c r="G208" s="23" t="n">
        <v>5122</v>
      </c>
      <c r="H208" s="25" t="n">
        <v>139.26</v>
      </c>
    </row>
    <row r="209">
      <c r="A209" s="22" t="inlineStr">
        <is>
          <t>PRJ-010</t>
        </is>
      </c>
      <c r="B209" s="22" t="inlineStr">
        <is>
          <t>Thalassaemia Support Programme - Gadap</t>
        </is>
      </c>
      <c r="C209" s="22" t="inlineStr">
        <is>
          <t>Sep-2024</t>
        </is>
      </c>
      <c r="D209" s="23" t="n">
        <v>874543.42</v>
      </c>
      <c r="E209" s="23" t="n">
        <v>2567</v>
      </c>
      <c r="F209" s="25" t="n">
        <v>340.69</v>
      </c>
      <c r="G209" s="23" t="n">
        <v>5371</v>
      </c>
      <c r="H209" s="25" t="n">
        <v>162.83</v>
      </c>
    </row>
    <row r="210">
      <c r="A210" s="22" t="inlineStr">
        <is>
          <t>PRJ-010</t>
        </is>
      </c>
      <c r="B210" s="22" t="inlineStr">
        <is>
          <t>Thalassaemia Support Programme - Gadap</t>
        </is>
      </c>
      <c r="C210" s="22" t="inlineStr">
        <is>
          <t>Oct-2024</t>
        </is>
      </c>
      <c r="D210" s="23" t="n">
        <v>737262</v>
      </c>
      <c r="E210" s="23" t="n">
        <v>2155</v>
      </c>
      <c r="F210" s="25" t="n">
        <v>342.12</v>
      </c>
      <c r="G210" s="23" t="n">
        <v>3163</v>
      </c>
      <c r="H210" s="25" t="n">
        <v>233.09</v>
      </c>
    </row>
    <row r="211">
      <c r="A211" s="22" t="inlineStr">
        <is>
          <t>PRJ-010</t>
        </is>
      </c>
      <c r="B211" s="22" t="inlineStr">
        <is>
          <t>Thalassaemia Support Programme - Gadap</t>
        </is>
      </c>
      <c r="C211" s="22" t="inlineStr">
        <is>
          <t>Nov-2024</t>
        </is>
      </c>
      <c r="D211" s="23" t="n">
        <v>682654.9</v>
      </c>
      <c r="E211" s="23" t="n">
        <v>2231</v>
      </c>
      <c r="F211" s="25" t="n">
        <v>305.99</v>
      </c>
      <c r="G211" s="23" t="n">
        <v>3252</v>
      </c>
      <c r="H211" s="25" t="n">
        <v>209.92</v>
      </c>
    </row>
    <row r="212">
      <c r="A212" s="22" t="inlineStr">
        <is>
          <t>PRJ-010</t>
        </is>
      </c>
      <c r="B212" s="22" t="inlineStr">
        <is>
          <t>Thalassaemia Support Programme - Gadap</t>
        </is>
      </c>
      <c r="C212" s="22" t="inlineStr">
        <is>
          <t>Dec-2024</t>
        </is>
      </c>
      <c r="D212" s="23" t="n">
        <v>816096.85</v>
      </c>
      <c r="E212" s="23" t="n">
        <v>2452</v>
      </c>
      <c r="F212" s="25" t="n">
        <v>332.83</v>
      </c>
      <c r="G212" s="23" t="n">
        <v>5580</v>
      </c>
      <c r="H212" s="25" t="n">
        <v>146.25</v>
      </c>
    </row>
    <row r="213">
      <c r="A213" s="22" t="inlineStr">
        <is>
          <t>PRJ-010</t>
        </is>
      </c>
      <c r="B213" s="22" t="inlineStr">
        <is>
          <t>Thalassaemia Support Programme - Gadap</t>
        </is>
      </c>
      <c r="C213" s="22" t="inlineStr">
        <is>
          <t>Jan-2025</t>
        </is>
      </c>
      <c r="D213" s="23" t="n">
        <v>964331.03</v>
      </c>
      <c r="E213" s="23" t="n">
        <v>2333</v>
      </c>
      <c r="F213" s="25" t="n">
        <v>413.34</v>
      </c>
      <c r="G213" s="23" t="n">
        <v>3661</v>
      </c>
      <c r="H213" s="25" t="n">
        <v>263.41</v>
      </c>
    </row>
    <row r="214">
      <c r="A214" s="22" t="inlineStr">
        <is>
          <t>PRJ-010</t>
        </is>
      </c>
      <c r="B214" s="22" t="inlineStr">
        <is>
          <t>Thalassaemia Support Programme - Gadap</t>
        </is>
      </c>
      <c r="C214" s="22" t="inlineStr">
        <is>
          <t>Feb-2025</t>
        </is>
      </c>
      <c r="D214" s="23" t="n">
        <v>896125.99</v>
      </c>
      <c r="E214" s="23" t="n">
        <v>2270</v>
      </c>
      <c r="F214" s="25" t="n">
        <v>394.77</v>
      </c>
      <c r="G214" s="23" t="n">
        <v>3596</v>
      </c>
      <c r="H214" s="25" t="n">
        <v>249.2</v>
      </c>
    </row>
    <row r="215">
      <c r="A215" s="22" t="inlineStr">
        <is>
          <t>PRJ-010</t>
        </is>
      </c>
      <c r="B215" s="22" t="inlineStr">
        <is>
          <t>Thalassaemia Support Programme - Gadap</t>
        </is>
      </c>
      <c r="C215" s="22" t="inlineStr">
        <is>
          <t>Mar-2025</t>
        </is>
      </c>
      <c r="D215" s="23" t="n">
        <v>846883.96</v>
      </c>
      <c r="E215" s="23" t="n">
        <v>2981</v>
      </c>
      <c r="F215" s="25" t="n">
        <v>284.09</v>
      </c>
      <c r="G215" s="23" t="n">
        <v>6617</v>
      </c>
      <c r="H215" s="25" t="n">
        <v>127.99</v>
      </c>
    </row>
    <row r="216">
      <c r="A216" s="22" t="inlineStr">
        <is>
          <t>PRJ-010</t>
        </is>
      </c>
      <c r="B216" s="22" t="inlineStr">
        <is>
          <t>Thalassaemia Support Programme - Gadap</t>
        </is>
      </c>
      <c r="C216" s="22" t="inlineStr">
        <is>
          <t>Apr-2025</t>
        </is>
      </c>
      <c r="D216" s="23" t="n">
        <v>715140.3199999999</v>
      </c>
      <c r="E216" s="23" t="n">
        <v>2811</v>
      </c>
      <c r="F216" s="25" t="n">
        <v>254.41</v>
      </c>
      <c r="G216" s="23" t="n">
        <v>5618</v>
      </c>
      <c r="H216" s="25" t="n">
        <v>127.29</v>
      </c>
    </row>
    <row r="217">
      <c r="A217" s="22" t="inlineStr">
        <is>
          <t>PRJ-010</t>
        </is>
      </c>
      <c r="B217" s="22" t="inlineStr">
        <is>
          <t>Thalassaemia Support Programme - Gadap</t>
        </is>
      </c>
      <c r="C217" s="22" t="inlineStr">
        <is>
          <t>May-2025</t>
        </is>
      </c>
      <c r="D217" s="23" t="n">
        <v>672166.9</v>
      </c>
      <c r="E217" s="23" t="n">
        <v>2095</v>
      </c>
      <c r="F217" s="25" t="n">
        <v>320.84</v>
      </c>
      <c r="G217" s="23" t="n">
        <v>4675</v>
      </c>
      <c r="H217" s="25" t="n">
        <v>143.78</v>
      </c>
    </row>
    <row r="218">
      <c r="A218" s="22" t="inlineStr">
        <is>
          <t>PRJ-010</t>
        </is>
      </c>
      <c r="B218" s="22" t="inlineStr">
        <is>
          <t>Thalassaemia Support Programme - Gadap</t>
        </is>
      </c>
      <c r="C218" s="22" t="inlineStr">
        <is>
          <t>Jun-2025</t>
        </is>
      </c>
      <c r="D218" s="23" t="n">
        <v>802700.3</v>
      </c>
      <c r="E218" s="23" t="n">
        <v>2535</v>
      </c>
      <c r="F218" s="25" t="n">
        <v>316.65</v>
      </c>
      <c r="G218" s="23" t="n">
        <v>4779</v>
      </c>
      <c r="H218" s="25" t="n">
        <v>167.96</v>
      </c>
    </row>
    <row r="219">
      <c r="A219" s="22" t="inlineStr">
        <is>
          <t>PRJ-010</t>
        </is>
      </c>
      <c r="B219" s="22" t="inlineStr">
        <is>
          <t>Thalassaemia Support Programme - Gadap</t>
        </is>
      </c>
      <c r="C219" s="22" t="inlineStr">
        <is>
          <t>Jul-2025</t>
        </is>
      </c>
      <c r="D219" s="23" t="n">
        <v>757674.46</v>
      </c>
      <c r="E219" s="23" t="n">
        <v>2957</v>
      </c>
      <c r="F219" s="25" t="n">
        <v>256.23</v>
      </c>
      <c r="G219" s="23" t="n">
        <v>6326</v>
      </c>
      <c r="H219" s="25" t="n">
        <v>119.77</v>
      </c>
    </row>
    <row r="220">
      <c r="A220" s="22" t="inlineStr">
        <is>
          <t>PRJ-010</t>
        </is>
      </c>
      <c r="B220" s="22" t="inlineStr">
        <is>
          <t>Thalassaemia Support Programme - Gadap</t>
        </is>
      </c>
      <c r="C220" s="22" t="inlineStr">
        <is>
          <t>Aug-2025</t>
        </is>
      </c>
      <c r="D220" s="23" t="n">
        <v>1277412</v>
      </c>
      <c r="E220" s="23" t="n">
        <v>3639</v>
      </c>
      <c r="F220" s="25" t="n">
        <v>351.03</v>
      </c>
      <c r="G220" s="23" t="n">
        <v>5478</v>
      </c>
      <c r="H220" s="25" t="n">
        <v>233.19</v>
      </c>
    </row>
    <row r="221">
      <c r="A221" s="22" t="inlineStr">
        <is>
          <t>PRJ-010</t>
        </is>
      </c>
      <c r="B221" s="22" t="inlineStr">
        <is>
          <t>Thalassaemia Support Programme - Gadap</t>
        </is>
      </c>
      <c r="C221" s="22" t="inlineStr">
        <is>
          <t>Sep-2025</t>
        </is>
      </c>
      <c r="D221" s="23" t="n">
        <v>1044289.94</v>
      </c>
      <c r="E221" s="23" t="n">
        <v>4219</v>
      </c>
      <c r="F221" s="25" t="n">
        <v>247.52</v>
      </c>
      <c r="G221" s="23" t="n">
        <v>8445</v>
      </c>
      <c r="H221" s="25" t="n">
        <v>123.66</v>
      </c>
    </row>
    <row r="222">
      <c r="A222" s="22" t="inlineStr">
        <is>
          <t>PRJ-010</t>
        </is>
      </c>
      <c r="B222" s="22" t="inlineStr">
        <is>
          <t>Thalassaemia Support Programme - Gadap</t>
        </is>
      </c>
      <c r="C222" s="22" t="inlineStr">
        <is>
          <t>Oct-2025</t>
        </is>
      </c>
      <c r="D222" s="23" t="n">
        <v>972492.98</v>
      </c>
      <c r="E222" s="23" t="n">
        <v>2937</v>
      </c>
      <c r="F222" s="25" t="n">
        <v>331.12</v>
      </c>
      <c r="G222" s="23" t="n">
        <v>5258</v>
      </c>
      <c r="H222" s="25" t="n">
        <v>184.95</v>
      </c>
    </row>
    <row r="223">
      <c r="A223" s="22" t="inlineStr">
        <is>
          <t>PRJ-010</t>
        </is>
      </c>
      <c r="B223" s="22" t="inlineStr">
        <is>
          <t>Thalassaemia Support Programme - Gadap</t>
        </is>
      </c>
      <c r="C223" s="22" t="inlineStr">
        <is>
          <t>Nov-2025</t>
        </is>
      </c>
      <c r="D223" s="23" t="n">
        <v>778536.98</v>
      </c>
      <c r="E223" s="23" t="n">
        <v>2267</v>
      </c>
      <c r="F223" s="25" t="n">
        <v>343.42</v>
      </c>
      <c r="G223" s="23" t="n">
        <v>4884</v>
      </c>
      <c r="H223" s="25" t="n">
        <v>159.41</v>
      </c>
    </row>
    <row r="224">
      <c r="A224" s="22" t="inlineStr">
        <is>
          <t>PRJ-010</t>
        </is>
      </c>
      <c r="B224" s="22" t="inlineStr">
        <is>
          <t>Thalassaemia Support Programme - Gadap</t>
        </is>
      </c>
      <c r="C224" s="22" t="inlineStr">
        <is>
          <t>Dec-2025</t>
        </is>
      </c>
      <c r="D224" s="23" t="n">
        <v>939839.4</v>
      </c>
      <c r="E224" s="23" t="n">
        <v>3154</v>
      </c>
      <c r="F224" s="25" t="n">
        <v>297.98</v>
      </c>
      <c r="G224" s="23" t="n">
        <v>6884</v>
      </c>
      <c r="H224" s="25" t="n">
        <v>136.53</v>
      </c>
    </row>
    <row r="225">
      <c r="A225" s="22" t="inlineStr">
        <is>
          <t>PRJ-010</t>
        </is>
      </c>
      <c r="B225" s="22" t="inlineStr">
        <is>
          <t>Thalassaemia Support Programme - Gadap</t>
        </is>
      </c>
      <c r="C225" s="22" t="inlineStr">
        <is>
          <t>Jan-2026</t>
        </is>
      </c>
      <c r="D225" s="23" t="n">
        <v>1044142.66</v>
      </c>
      <c r="E225" s="23" t="n">
        <v>2601</v>
      </c>
      <c r="F225" s="25" t="n">
        <v>401.44</v>
      </c>
      <c r="G225" s="23" t="n">
        <v>4579</v>
      </c>
      <c r="H225" s="25" t="n">
        <v>228.03</v>
      </c>
    </row>
    <row r="226">
      <c r="A226" s="22" t="inlineStr">
        <is>
          <t>PRJ-010</t>
        </is>
      </c>
      <c r="B226" s="22" t="inlineStr">
        <is>
          <t>Thalassaemia Support Programme - Gadap</t>
        </is>
      </c>
      <c r="C226" s="22" t="inlineStr">
        <is>
          <t>Feb-2026</t>
        </is>
      </c>
      <c r="D226" s="23" t="n">
        <v>918407.08</v>
      </c>
      <c r="E226" s="23" t="n">
        <v>2775</v>
      </c>
      <c r="F226" s="25" t="n">
        <v>330.96</v>
      </c>
      <c r="G226" s="23" t="n">
        <v>4091</v>
      </c>
      <c r="H226" s="25" t="n">
        <v>224.49</v>
      </c>
    </row>
    <row r="227">
      <c r="A227" s="22" t="inlineStr">
        <is>
          <t>PRJ-010</t>
        </is>
      </c>
      <c r="B227" s="22" t="inlineStr">
        <is>
          <t>Thalassaemia Support Programme - Gadap</t>
        </is>
      </c>
      <c r="C227" s="22" t="inlineStr">
        <is>
          <t>Mar-2026</t>
        </is>
      </c>
      <c r="D227" s="23" t="n">
        <v>688507.0699999999</v>
      </c>
      <c r="E227" s="23" t="n">
        <v>2476</v>
      </c>
      <c r="F227" s="25" t="n">
        <v>278.07</v>
      </c>
      <c r="G227" s="23" t="n">
        <v>5280</v>
      </c>
      <c r="H227" s="25" t="n">
        <v>130.4</v>
      </c>
    </row>
    <row r="228">
      <c r="A228" s="22" t="inlineStr">
        <is>
          <t>PRJ-010</t>
        </is>
      </c>
      <c r="B228" s="22" t="inlineStr">
        <is>
          <t>Thalassaemia Support Programme - Gadap</t>
        </is>
      </c>
      <c r="C228" s="22" t="inlineStr">
        <is>
          <t>Apr-2026</t>
        </is>
      </c>
      <c r="D228" s="23" t="n">
        <v>907361.92</v>
      </c>
      <c r="E228" s="23" t="n">
        <v>2151</v>
      </c>
      <c r="F228" s="25" t="n">
        <v>421.83</v>
      </c>
      <c r="G228" s="23" t="n">
        <v>3453</v>
      </c>
      <c r="H228" s="25" t="n">
        <v>262.77</v>
      </c>
    </row>
    <row r="229">
      <c r="A229" s="22" t="inlineStr">
        <is>
          <t>PRJ-010</t>
        </is>
      </c>
      <c r="B229" s="22" t="inlineStr">
        <is>
          <t>Thalassaemia Support Programme - Gadap</t>
        </is>
      </c>
      <c r="C229" s="22" t="inlineStr">
        <is>
          <t>May-2026</t>
        </is>
      </c>
      <c r="D229" s="23" t="n">
        <v>825100.35</v>
      </c>
      <c r="E229" s="23" t="n">
        <v>2550</v>
      </c>
      <c r="F229" s="25" t="n">
        <v>323.57</v>
      </c>
      <c r="G229" s="23" t="n">
        <v>3743</v>
      </c>
      <c r="H229" s="25" t="n">
        <v>220.44</v>
      </c>
    </row>
    <row r="230">
      <c r="A230" s="22" t="inlineStr">
        <is>
          <t>PRJ-010</t>
        </is>
      </c>
      <c r="B230" s="22" t="inlineStr">
        <is>
          <t>Thalassaemia Support Programme - Gadap</t>
        </is>
      </c>
      <c r="C230" s="22" t="inlineStr">
        <is>
          <t>Jun-2026</t>
        </is>
      </c>
      <c r="D230" s="23" t="n">
        <v>748517.84</v>
      </c>
      <c r="E230" s="23" t="n">
        <v>3161</v>
      </c>
      <c r="F230" s="25" t="n">
        <v>236.8</v>
      </c>
      <c r="G230" s="23" t="n">
        <v>5641</v>
      </c>
      <c r="H230" s="25" t="n">
        <v>132.69</v>
      </c>
    </row>
    <row r="231">
      <c r="A231" s="22" t="inlineStr">
        <is>
          <t>PRJ-010</t>
        </is>
      </c>
      <c r="B231" s="22" t="inlineStr">
        <is>
          <t>Thalassaemia Support Programme - Gadap</t>
        </is>
      </c>
      <c r="C231" s="22" t="inlineStr">
        <is>
          <t>Jul-2026</t>
        </is>
      </c>
      <c r="D231" s="23" t="n">
        <v>1071445.51</v>
      </c>
      <c r="E231" s="23" t="n">
        <v>2469</v>
      </c>
      <c r="F231" s="25" t="n">
        <v>433.96</v>
      </c>
      <c r="G231" s="23" t="n">
        <v>5380</v>
      </c>
      <c r="H231" s="25" t="n">
        <v>199.15</v>
      </c>
    </row>
    <row r="232">
      <c r="A232" s="22" t="inlineStr">
        <is>
          <t>PRJ-010</t>
        </is>
      </c>
      <c r="B232" s="22" t="inlineStr">
        <is>
          <t>Thalassaemia Support Programme - Gadap</t>
        </is>
      </c>
      <c r="C232" s="22" t="inlineStr">
        <is>
          <t>Aug-2026</t>
        </is>
      </c>
      <c r="D232" s="23" t="n">
        <v>970246.27</v>
      </c>
      <c r="E232" s="23" t="n">
        <v>3282</v>
      </c>
      <c r="F232" s="25" t="n">
        <v>295.63</v>
      </c>
      <c r="G232" s="23" t="n">
        <v>5478</v>
      </c>
      <c r="H232" s="25" t="n">
        <v>177.12</v>
      </c>
    </row>
    <row r="233">
      <c r="A233" s="22" t="inlineStr">
        <is>
          <t>PRJ-010</t>
        </is>
      </c>
      <c r="B233" s="22" t="inlineStr">
        <is>
          <t>Thalassaemia Support Programme - Gadap</t>
        </is>
      </c>
      <c r="C233" s="22" t="inlineStr">
        <is>
          <t>Sep-2026</t>
        </is>
      </c>
      <c r="D233" s="23" t="n">
        <v>1087484.79</v>
      </c>
      <c r="E233" s="23" t="n">
        <v>2641</v>
      </c>
      <c r="F233" s="25" t="n">
        <v>411.77</v>
      </c>
      <c r="G233" s="23" t="n">
        <v>4663</v>
      </c>
      <c r="H233" s="25" t="n">
        <v>233.22</v>
      </c>
    </row>
    <row r="234">
      <c r="A234" s="26" t="inlineStr"/>
      <c r="B234" s="26" t="inlineStr">
        <is>
          <t>TOTAL / AVERAGE</t>
        </is>
      </c>
      <c r="C234" s="26" t="inlineStr"/>
      <c r="D234" s="27" t="n">
        <v>254402819.92</v>
      </c>
      <c r="E234" s="27" t="n">
        <v>689230</v>
      </c>
      <c r="F234" s="29" t="n">
        <v>369.11</v>
      </c>
      <c r="G234" s="27" t="n">
        <v>1257796</v>
      </c>
      <c r="H234" s="29" t="n">
        <v>202.26</v>
      </c>
    </row>
  </sheetData>
  <mergeCells count="1">
    <mergeCell ref="A2:H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45756"/>
    <outlinePr summaryBelow="1" summaryRight="1"/>
    <pageSetUpPr/>
  </sheetPr>
  <dimension ref="A1:F62"/>
  <sheetViews>
    <sheetView showGridLines="0" zoomScale="9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44" customWidth="1" min="4" max="4"/>
  </cols>
  <sheetData>
    <row r="1">
      <c r="A1" s="1" t="inlineStr">
        <is>
          <t>Exceptions and Data Quality</t>
        </is>
      </c>
    </row>
    <row r="2">
      <c r="A2" s="2" t="inlineStr">
        <is>
          <t>Each block corresponds to an exception type specified in the BRD (FR-29, FR-30, DQ-01 to DQ-06).</t>
        </is>
      </c>
    </row>
    <row r="3" ht="6" customHeight="1"/>
    <row r="5">
      <c r="A5" s="10" t="inlineStr">
        <is>
          <t>Summary of exceptions</t>
        </is>
      </c>
    </row>
    <row r="6" ht="30" customHeight="1">
      <c r="A6" s="11" t="inlineStr">
        <is>
          <t>Exception type</t>
        </is>
      </c>
      <c r="B6" s="11" t="inlineStr">
        <is>
          <t>Count</t>
        </is>
      </c>
      <c r="C6" s="11" t="inlineStr">
        <is>
          <t>Value (PKR)</t>
        </is>
      </c>
      <c r="D6" s="11" t="inlineStr">
        <is>
          <t>Required handling</t>
        </is>
      </c>
    </row>
    <row r="7">
      <c r="A7" s="12" t="inlineStr">
        <is>
          <t>Unattributed consumption (generic project code)</t>
        </is>
      </c>
      <c r="B7" s="12" t="n">
        <v>492</v>
      </c>
      <c r="C7" s="13" t="n">
        <v>5453428.7</v>
      </c>
      <c r="D7" s="12" t="inlineStr">
        <is>
          <t>Report separately; correct project coding at issue (FR-30)</t>
        </is>
      </c>
    </row>
    <row r="8">
      <c r="A8" s="12" t="inlineStr">
        <is>
          <t>Zero-value / donated purchase lines</t>
        </is>
      </c>
      <c r="B8" s="12" t="n">
        <v>50</v>
      </c>
      <c r="C8" s="13" t="n">
        <v>0</v>
      </c>
      <c r="D8" s="12" t="inlineStr">
        <is>
          <t>Exclude from price variance; disclose as in-kind</t>
        </is>
      </c>
    </row>
    <row r="9">
      <c r="A9" s="12" t="inlineStr">
        <is>
          <t>Cancelled purchase orders</t>
        </is>
      </c>
      <c r="B9" s="12" t="n">
        <v>854</v>
      </c>
      <c r="C9" s="13" t="n">
        <v>19934209.5</v>
      </c>
      <c r="D9" s="12" t="inlineStr">
        <is>
          <t>Exclude from investment and commitment (TR-05)</t>
        </is>
      </c>
    </row>
    <row r="10">
      <c r="A10" s="12" t="inlineStr">
        <is>
          <t>Duplicate receipt candidates</t>
        </is>
      </c>
      <c r="B10" s="12" t="n">
        <v>8</v>
      </c>
      <c r="C10" s="13" t="inlineStr"/>
      <c r="D10" s="12" t="inlineStr">
        <is>
          <t>Deduplicate on GRN + batch before loading (TR-06)</t>
        </is>
      </c>
    </row>
    <row r="11">
      <c r="A11" s="12" t="inlineStr">
        <is>
          <t>Item-project-months with unmet demand</t>
        </is>
      </c>
      <c r="B11" s="12" t="n">
        <v>54</v>
      </c>
      <c r="C11" s="13" t="n">
        <v>24621</v>
      </c>
      <c r="D11" s="12" t="inlineStr">
        <is>
          <t>Review stock-out cause and lead time (KPI-22)</t>
        </is>
      </c>
    </row>
    <row r="12">
      <c r="A12" s="12" t="inlineStr">
        <is>
          <t>Expired stock not written off</t>
        </is>
      </c>
      <c r="B12" s="12" t="n"/>
      <c r="C12" s="13" t="n">
        <v>683282.38</v>
      </c>
      <c r="D12" s="12" t="inlineStr">
        <is>
          <t>Approve write-off and adjust stock (KPI-21)</t>
        </is>
      </c>
    </row>
    <row r="15">
      <c r="A15" s="10" t="inlineStr">
        <is>
          <t>Unattributed consumption by month</t>
        </is>
      </c>
    </row>
    <row r="16" ht="30" customHeight="1">
      <c r="A16" s="11" t="inlineStr">
        <is>
          <t>Month</t>
        </is>
      </c>
      <c r="B16" s="11" t="inlineStr">
        <is>
          <t>Unattributed value</t>
        </is>
      </c>
      <c r="C16" s="11" t="inlineStr">
        <is>
          <t>Total consumption</t>
        </is>
      </c>
      <c r="D16" s="11" t="inlineStr">
        <is>
          <t>Share</t>
        </is>
      </c>
    </row>
    <row r="17">
      <c r="A17" s="12" t="inlineStr">
        <is>
          <t>Jul-2024</t>
        </is>
      </c>
      <c r="B17" s="13" t="n">
        <v>110486.9</v>
      </c>
      <c r="C17" s="13" t="n">
        <v>6552550.85</v>
      </c>
      <c r="D17" s="18" t="n">
        <v>0.0169</v>
      </c>
    </row>
    <row r="18">
      <c r="A18" s="12" t="inlineStr">
        <is>
          <t>Aug-2024</t>
        </is>
      </c>
      <c r="B18" s="13" t="n">
        <v>211674.2</v>
      </c>
      <c r="C18" s="13" t="n">
        <v>7859009.18</v>
      </c>
      <c r="D18" s="18" t="n">
        <v>0.0269</v>
      </c>
    </row>
    <row r="19">
      <c r="A19" s="12" t="inlineStr">
        <is>
          <t>Sep-2024</t>
        </is>
      </c>
      <c r="B19" s="13" t="n">
        <v>295031.55</v>
      </c>
      <c r="C19" s="13" t="n">
        <v>8130138.59</v>
      </c>
      <c r="D19" s="18" t="n">
        <v>0.0363</v>
      </c>
    </row>
    <row r="20">
      <c r="A20" s="12" t="inlineStr">
        <is>
          <t>Oct-2024</t>
        </is>
      </c>
      <c r="B20" s="13" t="n">
        <v>222579.69</v>
      </c>
      <c r="C20" s="13" t="n">
        <v>8339763.82</v>
      </c>
      <c r="D20" s="18" t="n">
        <v>0.0267</v>
      </c>
    </row>
    <row r="21">
      <c r="A21" s="12" t="inlineStr">
        <is>
          <t>Nov-2024</t>
        </is>
      </c>
      <c r="B21" s="13" t="n">
        <v>65086.13</v>
      </c>
      <c r="C21" s="13" t="n">
        <v>6860512.45</v>
      </c>
      <c r="D21" s="18" t="n">
        <v>0.0095</v>
      </c>
    </row>
    <row r="22">
      <c r="A22" s="12" t="inlineStr">
        <is>
          <t>Dec-2024</t>
        </is>
      </c>
      <c r="B22" s="13" t="n">
        <v>184832.23</v>
      </c>
      <c r="C22" s="13" t="n">
        <v>7719765.87</v>
      </c>
      <c r="D22" s="18" t="n">
        <v>0.0239</v>
      </c>
    </row>
    <row r="23">
      <c r="A23" s="12" t="inlineStr">
        <is>
          <t>Jan-2025</t>
        </is>
      </c>
      <c r="B23" s="13" t="n">
        <v>299436.67</v>
      </c>
      <c r="C23" s="13" t="n">
        <v>11481889.89</v>
      </c>
      <c r="D23" s="18" t="n">
        <v>0.0261</v>
      </c>
    </row>
    <row r="24">
      <c r="A24" s="12" t="inlineStr">
        <is>
          <t>Feb-2025</t>
        </is>
      </c>
      <c r="B24" s="13" t="n">
        <v>168966.75</v>
      </c>
      <c r="C24" s="13" t="n">
        <v>10573316.45</v>
      </c>
      <c r="D24" s="18" t="n">
        <v>0.016</v>
      </c>
    </row>
    <row r="25">
      <c r="A25" s="12" t="inlineStr">
        <is>
          <t>Mar-2025</t>
        </is>
      </c>
      <c r="B25" s="13" t="n">
        <v>186724.58</v>
      </c>
      <c r="C25" s="13" t="n">
        <v>8868301.65</v>
      </c>
      <c r="D25" s="18" t="n">
        <v>0.0211</v>
      </c>
    </row>
    <row r="26">
      <c r="A26" s="12" t="inlineStr">
        <is>
          <t>Apr-2025</t>
        </is>
      </c>
      <c r="B26" s="13" t="n">
        <v>206390.65</v>
      </c>
      <c r="C26" s="13" t="n">
        <v>8388334.77</v>
      </c>
      <c r="D26" s="18" t="n">
        <v>0.0246</v>
      </c>
    </row>
    <row r="27">
      <c r="A27" s="12" t="inlineStr">
        <is>
          <t>May-2025</t>
        </is>
      </c>
      <c r="B27" s="13" t="n">
        <v>188890.56</v>
      </c>
      <c r="C27" s="13" t="n">
        <v>8167457.51</v>
      </c>
      <c r="D27" s="18" t="n">
        <v>0.0231</v>
      </c>
    </row>
    <row r="28">
      <c r="A28" s="12" t="inlineStr">
        <is>
          <t>Jun-2025</t>
        </is>
      </c>
      <c r="B28" s="13" t="n">
        <v>332102.02</v>
      </c>
      <c r="C28" s="13" t="n">
        <v>8570464.390000001</v>
      </c>
      <c r="D28" s="18" t="n">
        <v>0.0387</v>
      </c>
    </row>
    <row r="29">
      <c r="A29" s="12" t="inlineStr">
        <is>
          <t>Jul-2025</t>
        </is>
      </c>
      <c r="B29" s="13" t="n">
        <v>158389.52</v>
      </c>
      <c r="C29" s="13" t="n">
        <v>10274302.08</v>
      </c>
      <c r="D29" s="18" t="n">
        <v>0.0154</v>
      </c>
    </row>
    <row r="30">
      <c r="A30" s="12" t="inlineStr">
        <is>
          <t>Aug-2025</t>
        </is>
      </c>
      <c r="B30" s="13" t="n">
        <v>174925.07</v>
      </c>
      <c r="C30" s="13" t="n">
        <v>14945962.17</v>
      </c>
      <c r="D30" s="18" t="n">
        <v>0.0117</v>
      </c>
    </row>
    <row r="31">
      <c r="A31" s="12" t="inlineStr">
        <is>
          <t>Sep-2025</t>
        </is>
      </c>
      <c r="B31" s="13" t="n">
        <v>205434.14</v>
      </c>
      <c r="C31" s="13" t="n">
        <v>14094437.04</v>
      </c>
      <c r="D31" s="18" t="n">
        <v>0.0146</v>
      </c>
    </row>
    <row r="32">
      <c r="A32" s="12" t="inlineStr">
        <is>
          <t>Oct-2025</t>
        </is>
      </c>
      <c r="B32" s="13" t="n">
        <v>229204.96</v>
      </c>
      <c r="C32" s="13" t="n">
        <v>10336996.95</v>
      </c>
      <c r="D32" s="18" t="n">
        <v>0.0222</v>
      </c>
    </row>
    <row r="33">
      <c r="A33" s="12" t="inlineStr">
        <is>
          <t>Nov-2025</t>
        </is>
      </c>
      <c r="B33" s="13" t="n">
        <v>170133.66</v>
      </c>
      <c r="C33" s="13" t="n">
        <v>8687316.52</v>
      </c>
      <c r="D33" s="18" t="n">
        <v>0.0196</v>
      </c>
    </row>
    <row r="34">
      <c r="A34" s="12" t="inlineStr">
        <is>
          <t>Dec-2025</t>
        </is>
      </c>
      <c r="B34" s="13" t="n">
        <v>180410.41</v>
      </c>
      <c r="C34" s="13" t="n">
        <v>10430181.26</v>
      </c>
      <c r="D34" s="18" t="n">
        <v>0.0173</v>
      </c>
    </row>
    <row r="35">
      <c r="A35" s="12" t="inlineStr">
        <is>
          <t>Jan-2026</t>
        </is>
      </c>
      <c r="B35" s="13" t="n">
        <v>268113.6</v>
      </c>
      <c r="C35" s="13" t="n">
        <v>11434698.9</v>
      </c>
      <c r="D35" s="18" t="n">
        <v>0.0234</v>
      </c>
    </row>
    <row r="36">
      <c r="A36" s="12" t="inlineStr">
        <is>
          <t>Feb-2026</t>
        </is>
      </c>
      <c r="B36" s="13" t="n">
        <v>405962.22</v>
      </c>
      <c r="C36" s="13" t="n">
        <v>10946389.39</v>
      </c>
      <c r="D36" s="18" t="n">
        <v>0.0371</v>
      </c>
    </row>
    <row r="37">
      <c r="A37" s="12" t="inlineStr">
        <is>
          <t>Mar-2026</t>
        </is>
      </c>
      <c r="B37" s="13" t="n">
        <v>279520.84</v>
      </c>
      <c r="C37" s="13" t="n">
        <v>7548320.71</v>
      </c>
      <c r="D37" s="18" t="n">
        <v>0.037</v>
      </c>
    </row>
    <row r="38">
      <c r="A38" s="12" t="inlineStr">
        <is>
          <t>Apr-2026</t>
        </is>
      </c>
      <c r="B38" s="13" t="n">
        <v>67987.94</v>
      </c>
      <c r="C38" s="13" t="n">
        <v>8207660.98</v>
      </c>
      <c r="D38" s="18" t="n">
        <v>0.0083</v>
      </c>
    </row>
    <row r="39">
      <c r="A39" s="12" t="inlineStr">
        <is>
          <t>May-2026</t>
        </is>
      </c>
      <c r="B39" s="13" t="n">
        <v>176893.94</v>
      </c>
      <c r="C39" s="13" t="n">
        <v>8102175.35</v>
      </c>
      <c r="D39" s="18" t="n">
        <v>0.0218</v>
      </c>
    </row>
    <row r="40">
      <c r="A40" s="12" t="inlineStr">
        <is>
          <t>Jun-2026</t>
        </is>
      </c>
      <c r="B40" s="13" t="n">
        <v>140564.15</v>
      </c>
      <c r="C40" s="13" t="n">
        <v>8977081.619999999</v>
      </c>
      <c r="D40" s="18" t="n">
        <v>0.0157</v>
      </c>
    </row>
    <row r="41">
      <c r="A41" s="12" t="inlineStr">
        <is>
          <t>Jul-2026</t>
        </is>
      </c>
      <c r="B41" s="13" t="n">
        <v>367712.93</v>
      </c>
      <c r="C41" s="13" t="n">
        <v>11481870.36</v>
      </c>
      <c r="D41" s="18" t="n">
        <v>0.032</v>
      </c>
    </row>
    <row r="42">
      <c r="A42" s="12" t="inlineStr">
        <is>
          <t>Aug-2026</t>
        </is>
      </c>
      <c r="B42" s="13" t="n">
        <v>108568.38</v>
      </c>
      <c r="C42" s="13" t="n">
        <v>11176479.95</v>
      </c>
      <c r="D42" s="18" t="n">
        <v>0.0097</v>
      </c>
    </row>
    <row r="43">
      <c r="A43" s="12" t="inlineStr">
        <is>
          <t>Sep-2026</t>
        </is>
      </c>
      <c r="B43" s="13" t="n">
        <v>47405.01</v>
      </c>
      <c r="C43" s="13" t="n">
        <v>11363021.21</v>
      </c>
      <c r="D43" s="18" t="n">
        <v>0.0042</v>
      </c>
    </row>
    <row r="46">
      <c r="A46" s="10" t="inlineStr">
        <is>
          <t>Unattributed consumption by item (top 15)</t>
        </is>
      </c>
    </row>
    <row r="47" ht="30" customHeight="1">
      <c r="A47" s="11" t="inlineStr">
        <is>
          <t>Item</t>
        </is>
      </c>
      <c r="B47" s="11" t="inlineStr">
        <is>
          <t>Value</t>
        </is>
      </c>
      <c r="C47" s="11" t="inlineStr">
        <is>
          <t>Lines</t>
        </is>
      </c>
      <c r="D47" s="11" t="inlineStr">
        <is>
          <t>Share of unattributed</t>
        </is>
      </c>
    </row>
    <row r="48">
      <c r="A48" s="12" t="inlineStr">
        <is>
          <t>Deferasirox 500 mg Tablet</t>
        </is>
      </c>
      <c r="B48" s="13" t="n">
        <v>475163.7</v>
      </c>
      <c r="C48" s="12" t="n">
        <v>7</v>
      </c>
      <c r="D48" s="18" t="n">
        <v>0.0871</v>
      </c>
    </row>
    <row r="49">
      <c r="A49" s="12" t="inlineStr">
        <is>
          <t>ORS Sachet (Low Osmolarity)</t>
        </is>
      </c>
      <c r="B49" s="13" t="n">
        <v>462620</v>
      </c>
      <c r="C49" s="12" t="n">
        <v>10</v>
      </c>
      <c r="D49" s="18" t="n">
        <v>0.0848</v>
      </c>
    </row>
    <row r="50">
      <c r="A50" s="12" t="inlineStr">
        <is>
          <t>Ready-to-Use Supplementary Food (RUSF)</t>
        </is>
      </c>
      <c r="B50" s="13" t="n">
        <v>368608.5</v>
      </c>
      <c r="C50" s="12" t="n">
        <v>9</v>
      </c>
      <c r="D50" s="18" t="n">
        <v>0.06759999999999999</v>
      </c>
    </row>
    <row r="51">
      <c r="A51" s="12" t="inlineStr">
        <is>
          <t>Insulin Regular 100 IU/ml</t>
        </is>
      </c>
      <c r="B51" s="13" t="n">
        <v>252271.62</v>
      </c>
      <c r="C51" s="12" t="n">
        <v>15</v>
      </c>
      <c r="D51" s="18" t="n">
        <v>0.0463</v>
      </c>
    </row>
    <row r="52">
      <c r="A52" s="12" t="inlineStr">
        <is>
          <t>Disposable Delivery Kit</t>
        </is>
      </c>
      <c r="B52" s="13" t="n">
        <v>230179.71</v>
      </c>
      <c r="C52" s="12" t="n">
        <v>8</v>
      </c>
      <c r="D52" s="18" t="n">
        <v>0.0422</v>
      </c>
    </row>
    <row r="53">
      <c r="A53" s="12" t="inlineStr">
        <is>
          <t>RUTF Plumpy'Nut 92 g Sachet</t>
        </is>
      </c>
      <c r="B53" s="13" t="n">
        <v>189012</v>
      </c>
      <c r="C53" s="12" t="n">
        <v>3</v>
      </c>
      <c r="D53" s="18" t="n">
        <v>0.0347</v>
      </c>
    </row>
    <row r="54">
      <c r="A54" s="12" t="inlineStr">
        <is>
          <t>Infant Formula, Therapeutic (Lactogen-free)</t>
        </is>
      </c>
      <c r="B54" s="13" t="n">
        <v>180127.32</v>
      </c>
      <c r="C54" s="12" t="n">
        <v>6</v>
      </c>
      <c r="D54" s="18" t="n">
        <v>0.033</v>
      </c>
    </row>
    <row r="55">
      <c r="A55" s="12" t="inlineStr">
        <is>
          <t>F-100 Therapeutic Milk 400 g</t>
        </is>
      </c>
      <c r="B55" s="13" t="n">
        <v>171451.68</v>
      </c>
      <c r="C55" s="12" t="n">
        <v>6</v>
      </c>
      <c r="D55" s="18" t="n">
        <v>0.0314</v>
      </c>
    </row>
    <row r="56">
      <c r="A56" s="12" t="inlineStr">
        <is>
          <t>F-75 Therapeutic Milk 400 g</t>
        </is>
      </c>
      <c r="B56" s="13" t="n">
        <v>153676.08</v>
      </c>
      <c r="C56" s="12" t="n">
        <v>6</v>
      </c>
      <c r="D56" s="18" t="n">
        <v>0.0282</v>
      </c>
    </row>
    <row r="57">
      <c r="A57" s="12" t="inlineStr">
        <is>
          <t>Therapeutic Zinc + ORS Combo Pack</t>
        </is>
      </c>
      <c r="B57" s="13" t="n">
        <v>149684.2</v>
      </c>
      <c r="C57" s="12" t="n">
        <v>8</v>
      </c>
      <c r="D57" s="18" t="n">
        <v>0.0274</v>
      </c>
    </row>
    <row r="58">
      <c r="A58" s="12" t="inlineStr">
        <is>
          <t>Multiple Micronutrient Powder</t>
        </is>
      </c>
      <c r="B58" s="13" t="n">
        <v>137550.6</v>
      </c>
      <c r="C58" s="12" t="n">
        <v>9</v>
      </c>
      <c r="D58" s="18" t="n">
        <v>0.0252</v>
      </c>
    </row>
    <row r="59">
      <c r="A59" s="12" t="inlineStr">
        <is>
          <t>Gauze Piece Sterile 10x10 cm</t>
        </is>
      </c>
      <c r="B59" s="13" t="n">
        <v>126316</v>
      </c>
      <c r="C59" s="12" t="n">
        <v>7</v>
      </c>
      <c r="D59" s="18" t="n">
        <v>0.0232</v>
      </c>
    </row>
    <row r="60">
      <c r="A60" s="12" t="inlineStr">
        <is>
          <t>Salbutamol Inhaler 100 mcg</t>
        </is>
      </c>
      <c r="B60" s="13" t="n">
        <v>116985.79</v>
      </c>
      <c r="C60" s="12" t="n">
        <v>8</v>
      </c>
      <c r="D60" s="18" t="n">
        <v>0.0215</v>
      </c>
    </row>
    <row r="61">
      <c r="A61" s="12" t="inlineStr">
        <is>
          <t>Tenofovir + Emtricitabine 300/200 mg</t>
        </is>
      </c>
      <c r="B61" s="13" t="n">
        <v>114132.3</v>
      </c>
      <c r="C61" s="12" t="n">
        <v>4</v>
      </c>
      <c r="D61" s="18" t="n">
        <v>0.0209</v>
      </c>
    </row>
    <row r="62">
      <c r="A62" s="12" t="inlineStr">
        <is>
          <t>Ceftriaxone 1 g Injection</t>
        </is>
      </c>
      <c r="B62" s="13" t="n">
        <v>110797.71</v>
      </c>
      <c r="C62" s="12" t="n">
        <v>5</v>
      </c>
      <c r="D62" s="18" t="n">
        <v>0.0203</v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2026-10-29T23:59:29Z</dcterms:created>
  <dcterms:modified xmlns:dcterms="http://purl.org/dc/terms/" xmlns:xsi="http://www.w3.org/2001/XMLSchema-instance" xsi:type="dcterms:W3CDTF">2026-10-29T23:59:30Z</dcterms:modified>
</cp:coreProperties>
</file>
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Inputs" sheetId="2" state="visible" r:id="rId2"/>
    <sheet xmlns:r="http://schemas.openxmlformats.org/officeDocument/2006/relationships" name="02_Live_Calculator" sheetId="3" state="visible" r:id="rId3"/>
    <sheet xmlns:r="http://schemas.openxmlformats.org/officeDocument/2006/relationships" name="03_Scenarios" sheetId="4" state="visible" r:id="rId4"/>
    <sheet xmlns:r="http://schemas.openxmlformats.org/officeDocument/2006/relationships" name="04_Scenario_Summary" sheetId="5" state="visible" r:id="rId5"/>
    <sheet xmlns:r="http://schemas.openxmlformats.org/officeDocument/2006/relationships" name="05_Scenario_Detail" sheetId="6" state="visible" r:id="rId6"/>
    <sheet xmlns:r="http://schemas.openxmlformats.org/officeDocument/2006/relationships" name="06_Sensitivity" sheetId="7" state="visible" r:id="rId7"/>
    <sheet xmlns:r="http://schemas.openxmlformats.org/officeDocument/2006/relationships" name="07_BreakEven" sheetId="8" state="visible" r:id="rId8"/>
    <sheet xmlns:r="http://schemas.openxmlformats.org/officeDocument/2006/relationships" name="08_TwoWay" sheetId="9" state="visible" r:id="rId9"/>
    <sheet xmlns:r="http://schemas.openxmlformats.org/officeDocument/2006/relationships" name="09_Lever_Catalogue" sheetId="10" state="visible" r:id="rId10"/>
    <sheet xmlns:r="http://schemas.openxmlformats.org/officeDocument/2006/relationships" name="10_Model_Logic" sheetId="11" state="visible" r:id="rId11"/>
    <sheet xmlns:r="http://schemas.openxmlformats.org/officeDocument/2006/relationships" name="11_Refresh" sheetId="12" state="visible" r:id="rId12"/>
  </sheets>
  <definedNames>
    <definedName name="_xlnm._FilterDatabase" localSheetId="5" hidden="1">'05_Scenario_Detail'!$A$5:$G$167</definedName>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000"/>
  </numFmts>
  <fonts count="13">
    <font>
      <name val="Calibri"/>
      <family val="2"/>
      <color theme="1"/>
      <sz val="11"/>
      <scheme val="minor"/>
    </font>
    <font>
      <name val="Calibri"/>
      <b val="1"/>
      <color rgb="001F3B57"/>
      <sz val="15"/>
    </font>
    <font>
      <name val="Calibri"/>
      <i val="1"/>
      <color rgb="00595959"/>
      <sz val="9"/>
    </font>
    <font>
      <name val="Calibri"/>
      <b val="1"/>
      <color rgb="001F3B57"/>
      <sz val="16"/>
    </font>
    <font>
      <name val="Calibri"/>
      <color rgb="00595959"/>
      <sz val="11"/>
    </font>
    <font>
      <name val="Calibri"/>
      <b val="1"/>
      <sz val="10"/>
    </font>
    <font>
      <name val="Calibri"/>
      <sz val="10"/>
    </font>
    <font>
      <name val="Calibri"/>
      <b val="1"/>
      <color rgb="001F3B57"/>
      <sz val="11"/>
    </font>
    <font>
      <name val="Calibri"/>
      <sz val="9.5"/>
    </font>
    <font>
      <name val="Calibri"/>
      <b val="1"/>
      <color rgb="00FFFFFF"/>
      <sz val="9.5"/>
    </font>
    <font>
      <name val="Calibri"/>
      <b val="1"/>
      <color rgb="001F3B57"/>
      <sz val="10"/>
    </font>
    <font>
      <name val="Calibri"/>
      <b val="1"/>
      <sz val="9.5"/>
    </font>
    <font>
      <name val="Calibri"/>
      <b val="1"/>
      <color rgb="001F3B57"/>
      <sz val="10.5"/>
    </font>
  </fonts>
  <fills count="7">
    <fill>
      <patternFill/>
    </fill>
    <fill>
      <patternFill patternType="gray125"/>
    </fill>
    <fill>
      <patternFill patternType="solid">
        <fgColor rgb="001F3B57"/>
      </patternFill>
    </fill>
    <fill>
      <patternFill patternType="solid">
        <fgColor rgb="002A7F8F"/>
      </patternFill>
    </fill>
    <fill>
      <patternFill patternType="solid">
        <fgColor rgb="00FFF2CC"/>
      </patternFill>
    </fill>
    <fill>
      <patternFill patternType="solid">
        <fgColor rgb="00595959"/>
      </patternFill>
    </fill>
    <fill>
      <patternFill patternType="solid">
        <fgColor rgb="00EEF3F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5" fillId="0" borderId="0" pivotButton="0" quotePrefix="0" xfId="0"/>
    <xf numFmtId="0" fontId="9" fillId="2" borderId="1" applyAlignment="1" pivotButton="0" quotePrefix="0" xfId="0">
      <alignment horizontal="center" vertical="center" wrapText="1"/>
    </xf>
    <xf numFmtId="0" fontId="9" fillId="3" borderId="0" pivotButton="0" quotePrefix="0" xfId="0"/>
    <xf numFmtId="0" fontId="0" fillId="3" borderId="0" pivotButton="0" quotePrefix="0" xfId="0"/>
    <xf numFmtId="0" fontId="8" fillId="0" borderId="1" applyAlignment="1" pivotButton="0" quotePrefix="0" xfId="0">
      <alignment vertical="top"/>
    </xf>
    <xf numFmtId="0" fontId="8" fillId="0" borderId="1" applyAlignment="1" pivotButton="0" quotePrefix="0" xfId="0">
      <alignment vertical="top" wrapText="1"/>
    </xf>
    <xf numFmtId="164" fontId="8" fillId="4" borderId="1" applyAlignment="1" pivotButton="0" quotePrefix="0" xfId="0">
      <alignment vertical="top"/>
    </xf>
    <xf numFmtId="2" fontId="8" fillId="4" borderId="1" applyAlignment="1" pivotButton="0" quotePrefix="0" xfId="0">
      <alignment vertical="top"/>
    </xf>
    <xf numFmtId="0" fontId="8" fillId="4" borderId="1" applyAlignment="1" pivotButton="0" quotePrefix="0" xfId="0">
      <alignment vertical="top"/>
    </xf>
    <xf numFmtId="0" fontId="9" fillId="2" borderId="0" pivotButton="0" quotePrefix="0" xfId="0"/>
    <xf numFmtId="0" fontId="0" fillId="2" borderId="0" pivotButton="0" quotePrefix="0" xfId="0"/>
    <xf numFmtId="0" fontId="9" fillId="5" borderId="0" pivotButton="0" quotePrefix="0" xfId="0"/>
    <xf numFmtId="0" fontId="0" fillId="5" borderId="0" pivotButton="0" quotePrefix="0" xfId="0"/>
    <xf numFmtId="3" fontId="8" fillId="0" borderId="1" applyAlignment="1" pivotButton="0" quotePrefix="0" xfId="0">
      <alignment vertical="top"/>
    </xf>
    <xf numFmtId="164" fontId="8" fillId="0" borderId="1" applyAlignment="1" pivotButton="0" quotePrefix="0" xfId="0">
      <alignment vertical="top"/>
    </xf>
    <xf numFmtId="0" fontId="10" fillId="0" borderId="0" pivotButton="0" quotePrefix="0" xfId="0"/>
    <xf numFmtId="164" fontId="11" fillId="4" borderId="1" pivotButton="0" quotePrefix="0" xfId="0"/>
    <xf numFmtId="2" fontId="11" fillId="4" borderId="1" pivotButton="0" quotePrefix="0" xfId="0"/>
    <xf numFmtId="1" fontId="11" fillId="4" borderId="1" pivotButton="0" quotePrefix="0" xfId="0"/>
    <xf numFmtId="3" fontId="8" fillId="0" borderId="1" pivotButton="0" quotePrefix="0" xfId="0"/>
    <xf numFmtId="164" fontId="8" fillId="0" borderId="1" pivotButton="0" quotePrefix="0" xfId="0"/>
    <xf numFmtId="1" fontId="8" fillId="0" borderId="1" pivotButton="0" quotePrefix="0" xfId="0"/>
    <xf numFmtId="0" fontId="11" fillId="0" borderId="0" pivotButton="0" quotePrefix="0" xfId="0"/>
    <xf numFmtId="165" fontId="10" fillId="6" borderId="1" pivotButton="0" quotePrefix="0" xfId="0"/>
    <xf numFmtId="3" fontId="10" fillId="6" borderId="1" pivotButton="0" quotePrefix="0" xfId="0"/>
    <xf numFmtId="2" fontId="10" fillId="6" borderId="1" pivotButton="0" quotePrefix="0" xfId="0"/>
    <xf numFmtId="164" fontId="10" fillId="6" borderId="1" pivotButton="0" quotePrefix="0" xfId="0"/>
    <xf numFmtId="0" fontId="11" fillId="6" borderId="1" applyAlignment="1" pivotButton="0" quotePrefix="0" xfId="0">
      <alignment vertical="top"/>
    </xf>
    <xf numFmtId="3" fontId="11" fillId="6" borderId="1" applyAlignment="1" pivotButton="0" quotePrefix="0" xfId="0">
      <alignment vertical="top"/>
    </xf>
    <xf numFmtId="164" fontId="11" fillId="6" borderId="1" applyAlignment="1" pivotButton="0" quotePrefix="0" xfId="0">
      <alignment vertical="top"/>
    </xf>
    <xf numFmtId="2" fontId="8" fillId="0" borderId="1" applyAlignment="1" pivotButton="0" quotePrefix="0" xfId="0">
      <alignment vertical="top"/>
    </xf>
    <xf numFmtId="166" fontId="8" fillId="0" borderId="1" applyAlignment="1" pivotButton="0" quotePrefix="0" xfId="0">
      <alignment vertical="top"/>
    </xf>
    <xf numFmtId="165" fontId="8" fillId="0" borderId="1" applyAlignment="1" pivotButton="0" quotePrefix="0" xfId="0">
      <alignment vertical="top"/>
    </xf>
    <xf numFmtId="0" fontId="12" fillId="0" borderId="0" pivotButton="0" quotePrefix="0" xfId="0"/>
    <xf numFmtId="167" fontId="8" fillId="0" borderId="1" applyAlignment="1" pivotButton="0" quotePrefix="0" xfId="0">
      <alignment vertical="top"/>
    </xf>
    <xf numFmtId="1" fontId="8" fillId="0" borderId="1" applyAlignment="1" pivotButton="0" quotePrefix="0" xfId="0">
      <alignment vertical="top"/>
    </xf>
  </cellXfs>
  <cellStyles count="1">
    <cellStyle name="Normal" xfId="0" builtinId="0" hidden="0"/>
  </cellStyles>
  <dxfs count="2">
    <dxf>
      <fill>
        <patternFill patternType="solid">
          <bgColor rgb="00F8CBAD"/>
        </patternFill>
      </fill>
    </dxf>
    <dxf>
      <fill>
        <patternFill patternType="solid">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Funding gap by scenario</a:t>
            </a:r>
          </a:p>
        </rich>
      </tx>
    </title>
    <plotArea>
      <barChart>
        <barDir val="col"/>
        <grouping val="clustered"/>
        <ser>
          <idx val="0"/>
          <order val="0"/>
          <tx>
            <strRef>
              <f>'04_Scenario_Summary'!E5</f>
            </strRef>
          </tx>
          <spPr>
            <a:solidFill xmlns:a="http://schemas.openxmlformats.org/drawingml/2006/main">
              <a:srgbClr val="1F3B57"/>
            </a:solidFill>
            <a:ln xmlns:a="http://schemas.openxmlformats.org/drawingml/2006/main">
              <a:prstDash val="solid"/>
            </a:ln>
          </spPr>
          <cat>
            <numRef>
              <f>'04_Scenario_Summary'!$A$6:$A$14</f>
            </numRef>
          </cat>
          <val>
            <numRef>
              <f>'04_Scenario_Summary'!$E$6:$E$14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PKR</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Purchase requirement and expiry risk by scenario</a:t>
            </a:r>
          </a:p>
        </rich>
      </tx>
    </title>
    <plotArea>
      <barChart>
        <barDir val="col"/>
        <grouping val="clustered"/>
        <ser>
          <idx val="0"/>
          <order val="0"/>
          <tx>
            <strRef>
              <f>'04_Scenario_Summary'!D5</f>
            </strRef>
          </tx>
          <spPr>
            <a:ln xmlns:a="http://schemas.openxmlformats.org/drawingml/2006/main">
              <a:prstDash val="solid"/>
            </a:ln>
          </spPr>
          <cat>
            <numRef>
              <f>'04_Scenario_Summary'!$A$6:$A$14</f>
            </numRef>
          </cat>
          <val>
            <numRef>
              <f>'04_Scenario_Summary'!$D$6:$D$14</f>
            </numRef>
          </val>
        </ser>
        <ser>
          <idx val="1"/>
          <order val="1"/>
          <tx>
            <strRef>
              <f>'04_Scenario_Summary'!J5</f>
            </strRef>
          </tx>
          <spPr>
            <a:ln xmlns:a="http://schemas.openxmlformats.org/drawingml/2006/main">
              <a:prstDash val="solid"/>
            </a:ln>
          </spPr>
          <cat>
            <numRef>
              <f>'04_Scenario_Summary'!$A$6:$A$14</f>
            </numRef>
          </cat>
          <val>
            <numRef>
              <f>'04_Scenario_Summary'!$J$6:$J$14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PKR</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Purchase cost vs expiry risk by cover policy</a:t>
            </a:r>
          </a:p>
        </rich>
      </tx>
    </title>
    <plotArea>
      <lineChart>
        <grouping val="standard"/>
        <ser>
          <idx val="0"/>
          <order val="0"/>
          <tx>
            <strRef>
              <f>'07_BreakEven'!B13</f>
            </strRef>
          </tx>
          <spPr>
            <a:ln xmlns:a="http://schemas.openxmlformats.org/drawingml/2006/main">
              <a:prstDash val="solid"/>
            </a:ln>
          </spPr>
          <marker>
            <symbol val="none"/>
            <spPr>
              <a:ln xmlns:a="http://schemas.openxmlformats.org/drawingml/2006/main">
                <a:prstDash val="solid"/>
              </a:ln>
            </spPr>
          </marker>
          <cat>
            <numRef>
              <f>'07_BreakEven'!$A$14:$A$44</f>
            </numRef>
          </cat>
          <val>
            <numRef>
              <f>'07_BreakEven'!$B$14:$B$44</f>
            </numRef>
          </val>
        </ser>
        <ser>
          <idx val="1"/>
          <order val="1"/>
          <tx>
            <strRef>
              <f>'07_BreakEven'!C13</f>
            </strRef>
          </tx>
          <spPr>
            <a:ln xmlns:a="http://schemas.openxmlformats.org/drawingml/2006/main">
              <a:prstDash val="solid"/>
            </a:ln>
          </spPr>
          <marker>
            <symbol val="none"/>
            <spPr>
              <a:ln xmlns:a="http://schemas.openxmlformats.org/drawingml/2006/main">
                <a:prstDash val="solid"/>
              </a:ln>
            </spPr>
          </marker>
          <cat>
            <numRef>
              <f>'07_BreakEven'!$A$14:$A$44</f>
            </numRef>
          </cat>
          <val>
            <numRef>
              <f>'07_BreakEven'!$C$14:$C$44</f>
            </numRef>
          </val>
        </ser>
        <axId val="10"/>
        <axId val="100"/>
      </lineChart>
      <catAx>
        <axId val="10"/>
        <scaling>
          <orientation val="minMax"/>
        </scaling>
        <axPos val="l"/>
        <title>
          <tx>
            <rich>
              <a:bodyPr xmlns:a="http://schemas.openxmlformats.org/drawingml/2006/main"/>
              <a:p xmlns:a="http://schemas.openxmlformats.org/drawingml/2006/main">
                <a:pPr>
                  <a:defRPr/>
                </a:pPr>
                <a:r>
                  <a:t>Target cover (days)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PKR</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0</col>
      <colOff>0</colOff>
      <row>16</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33</row>
      <rowOff>0</rowOff>
    </from>
    <ext cx="72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7</col>
      <colOff>0</colOff>
      <row>13</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3B57"/>
    <outlinePr summaryBelow="1" summaryRight="1"/>
    <pageSetUpPr/>
  </sheetPr>
  <dimension ref="A1:F28"/>
  <sheetViews>
    <sheetView showGridLines="0" zoomScale="90" workbookViewId="0">
      <selection activeCell="A1" sqref="A1"/>
    </sheetView>
  </sheetViews>
  <sheetFormatPr baseColWidth="8" defaultRowHeight="15"/>
  <cols>
    <col width="3" customWidth="1" min="1" max="1"/>
    <col width="34" customWidth="1" min="2" max="2"/>
    <col width="104" customWidth="1" min="3" max="3"/>
  </cols>
  <sheetData>
    <row r="1">
      <c r="A1" s="1" t="inlineStr">
        <is>
          <t>What-if &amp; Scenario Analysis – Consumption, Purchasing and Budget</t>
        </is>
      </c>
    </row>
    <row r="2">
      <c r="A2" s="2" t="inlineStr">
        <is>
          <t>Parameter set v1.1  |  data as at 2026-09-30  |  every input lives in config/parameters.json</t>
        </is>
      </c>
    </row>
    <row r="4">
      <c r="B4" s="3" t="inlineStr">
        <is>
          <t>VITAL PAKISTAN TRUST</t>
        </is>
      </c>
    </row>
    <row r="5">
      <c r="B5" s="4" t="inlineStr">
        <is>
          <t>What-if analysis for the Consumption Analysis dashboard</t>
        </is>
      </c>
    </row>
    <row r="7" ht="42" customHeight="1">
      <c r="B7" s="5" t="inlineStr">
        <is>
          <t>What this workbook answers</t>
        </is>
      </c>
      <c r="C7" s="6" t="inlineStr">
        <is>
          <t>“If demand, prices, supply, policy or funding change, what happens to consumption, purchasing, stock, expiry risk, stock-outs, budget and cost per beneficiary?” Each scenario is measured against the baseline case.</t>
        </is>
      </c>
    </row>
    <row r="8" ht="42" customHeight="1">
      <c r="B8" s="5" t="inlineStr">
        <is>
          <t>Horizon</t>
        </is>
      </c>
      <c r="C8" s="6" t="inlineStr">
        <is>
          <t>Forward 12 months at the current operating level. The baseline consumption is the annualised run rate inflated for the approved demand and price assumptions, so it differs from the historic period totals in the analysis workbook.</t>
        </is>
      </c>
    </row>
    <row r="9" ht="28" customHeight="1">
      <c r="B9" s="5" t="inlineStr">
        <is>
          <t>Everything is parameterised</t>
        </is>
      </c>
      <c r="C9" s="6" t="inlineStr">
        <is>
          <t>All 18 model assumptions and all 15 thresholds live in config/parameters.json. The workbook is generated from that file plus the current data, so no value is typed twice and none is hard-coded.</t>
        </is>
      </c>
    </row>
    <row r="10" ht="56" customHeight="1">
      <c r="B10" s="5" t="inlineStr">
        <is>
          <t>How to run a new what-if</t>
        </is>
      </c>
      <c r="C10" s="6" t="inlineStr">
        <is>
          <t>1) Edit the parameter or add a scenario in config/parameters.json.  2) Run scripts/refresh_all.py (or scripts/whatif_model.py then scripts/build_whatif.py).  3) The scenario summary, sensitivity, break-even and two-way tables recalculate.  4) For a quick manual check, use 02_Live_Calculator, which recalculates inside Excel.</t>
        </is>
      </c>
    </row>
    <row r="11" ht="42" customHeight="1">
      <c r="B11" s="5" t="inlineStr">
        <is>
          <t>Live calculator</t>
        </is>
      </c>
      <c r="C11" s="6" t="inlineStr">
        <is>
          <t>02_Live_Calculator is formula-driven: change a yellow input cell and the outputs recalculate without re-running anything. It reproduces the core equations, so it is also the simplest way to explain the model to non-analysts.</t>
        </is>
      </c>
    </row>
    <row r="12" ht="42" customHeight="1">
      <c r="B12" s="5" t="inlineStr">
        <is>
          <t>Reading the scenarios</t>
        </is>
      </c>
      <c r="C12" s="6" t="inlineStr">
        <is>
          <t>S0 is the baseline. S1–S4 are single-shock cases, S5 and S6 are policy / commercial levers, S7 is the combined downside and S8 is the same downside with the available levers applied — the gap between S7 and S8 is the value of acting.</t>
        </is>
      </c>
    </row>
    <row r="13" ht="28" customHeight="1">
      <c r="B13" s="5" t="inlineStr">
        <is>
          <t>Sensitivity</t>
        </is>
      </c>
      <c r="C13" s="6" t="inlineStr">
        <is>
          <t>06_Sensitivity moves one lever at a time between a low and a high value and ranks the levers by the size of their effect (tornado). Use it to answer “what should we watch most closely?”.</t>
        </is>
      </c>
    </row>
    <row r="14" ht="28" customHeight="1">
      <c r="B14" s="5" t="inlineStr">
        <is>
          <t>Break-even</t>
        </is>
      </c>
      <c r="C14" s="6" t="inlineStr">
        <is>
          <t>07_BreakEven answers “how far can this move before we have a funding problem?” and shows the trade-off between stock cover, purchase cost and expiry risk.</t>
        </is>
      </c>
    </row>
    <row r="15" ht="28" customHeight="1">
      <c r="B15" s="5" t="inlineStr">
        <is>
          <t>Two-way table</t>
        </is>
      </c>
      <c r="C15" s="6" t="inlineStr">
        <is>
          <t>08_TwoWay shows funding gap and budget utilisation for every combination of demand growth and price inflation, so a reader can locate the current position and see which direction hurts most.</t>
        </is>
      </c>
    </row>
    <row r="16" ht="28" customHeight="1">
      <c r="B16" s="5" t="inlineStr">
        <is>
          <t>Caveat</t>
        </is>
      </c>
      <c r="C16" s="6" t="inlineStr">
        <is>
          <t>The model is deliberately transparent and linear in its drivers; it is a decision aid, not a forecast. Assumptions are stated in 10_Model_Logic and should be challenged at each quarterly review.</t>
        </is>
      </c>
    </row>
    <row r="18">
      <c r="B18" s="7" t="inlineStr">
        <is>
          <t>Baseline position (forward 12 months)</t>
        </is>
      </c>
    </row>
    <row r="19">
      <c r="B19" s="8" t="inlineStr">
        <is>
          <t>Projected consumption value</t>
        </is>
      </c>
      <c r="C19" s="9" t="inlineStr">
        <is>
          <t>PKR 154,591,629</t>
        </is>
      </c>
    </row>
    <row r="20">
      <c r="B20" s="8" t="inlineStr">
        <is>
          <t>Projected purchase requirement</t>
        </is>
      </c>
      <c r="C20" s="9" t="inlineStr">
        <is>
          <t>PKR 157,178,998</t>
        </is>
      </c>
    </row>
    <row r="21">
      <c r="B21" s="8" t="inlineStr">
        <is>
          <t>Consumption-to-purchase ratio</t>
        </is>
      </c>
      <c r="C21" s="9" t="inlineStr">
        <is>
          <t>0.98</t>
        </is>
      </c>
    </row>
    <row r="22">
      <c r="B22" s="8" t="inlineStr">
        <is>
          <t>Budget available</t>
        </is>
      </c>
      <c r="C22" s="9" t="inlineStr">
        <is>
          <t>PKR 152,105,333</t>
        </is>
      </c>
    </row>
    <row r="23">
      <c r="B23" s="8" t="inlineStr">
        <is>
          <t>Budget utilisation</t>
        </is>
      </c>
      <c r="C23" s="9" t="inlineStr">
        <is>
          <t>101.6%</t>
        </is>
      </c>
    </row>
    <row r="24">
      <c r="B24" s="8" t="inlineStr">
        <is>
          <t>Funding gap</t>
        </is>
      </c>
      <c r="C24" s="9" t="inlineStr">
        <is>
          <t>PKR 2,486,296</t>
        </is>
      </c>
    </row>
    <row r="25">
      <c r="B25" s="8" t="inlineStr">
        <is>
          <t>Expiry risk value</t>
        </is>
      </c>
      <c r="C25" s="9" t="inlineStr">
        <is>
          <t>PKR 3,944,942</t>
        </is>
      </c>
    </row>
    <row r="26">
      <c r="B26" s="8" t="inlineStr">
        <is>
          <t>Stock-out risk items</t>
        </is>
      </c>
      <c r="C26" s="9" t="inlineStr">
        <is>
          <t>2</t>
        </is>
      </c>
    </row>
    <row r="27">
      <c r="B27" s="8" t="inlineStr">
        <is>
          <t>Working capital in stock</t>
        </is>
      </c>
      <c r="C27" s="9" t="inlineStr">
        <is>
          <t>PKR 45,826,888</t>
        </is>
      </c>
    </row>
    <row r="28">
      <c r="B28" s="8" t="inlineStr">
        <is>
          <t>Cost per beneficiary</t>
        </is>
      </c>
      <c r="C28" s="9" t="inlineStr">
        <is>
          <t>PKR 492</t>
        </is>
      </c>
    </row>
  </sheetData>
  <mergeCells count="1">
    <mergeCell ref="A2:F2"/>
  </mergeCells>
  <pageMargins left="0.75" right="0.75" top="1" bottom="1" header="0.5" footer="0.5"/>
</worksheet>
</file>

<file path=xl/worksheets/sheet2.xml><?xml version="1.0" encoding="utf-8"?>
<worksheet xmlns="http://schemas.openxmlformats.org/spreadsheetml/2006/main">
  <sheetPr>
    <tabColor rgb="002A7F8F"/>
    <outlinePr summaryBelow="1" summaryRight="1"/>
    <pageSetUpPr/>
  </sheetPr>
  <dimension ref="A1:I58"/>
  <sheetViews>
    <sheetView showGridLines="0" zoomScale="90" workbookViewId="0">
      <selection activeCell="A1" sqref="A1"/>
    </sheetView>
  </sheetViews>
  <sheetFormatPr baseColWidth="8" defaultRowHeight="15"/>
  <cols>
    <col width="26" customWidth="1" min="1" max="1"/>
    <col width="42" customWidth="1" min="2" max="2"/>
    <col width="12" customWidth="1" min="3" max="3"/>
    <col width="10" customWidth="1" min="4" max="4"/>
    <col width="12" customWidth="1" min="5" max="5"/>
    <col width="12" customWidth="1" min="6" max="6"/>
    <col width="46" customWidth="1" min="7" max="7"/>
    <col width="20" customWidth="1" min="8" max="8"/>
    <col width="44" customWidth="1" min="9" max="9"/>
  </cols>
  <sheetData>
    <row r="1">
      <c r="A1" s="1" t="inlineStr">
        <is>
          <t>All parameters – the single source of truth</t>
        </is>
      </c>
    </row>
    <row r="2">
      <c r="A2" s="2" t="inlineStr">
        <is>
          <t>Grouped by driver. Yellow cells are the live inputs of the workbook model; the same values are held in config/parameters.json.</t>
        </is>
      </c>
    </row>
    <row r="5" ht="32" customHeight="1">
      <c r="A5" s="10" t="inlineStr">
        <is>
          <t>Parameter key</t>
        </is>
      </c>
      <c r="B5" s="10" t="inlineStr">
        <is>
          <t>Parameter</t>
        </is>
      </c>
      <c r="C5" s="10" t="inlineStr">
        <is>
          <t>Current value</t>
        </is>
      </c>
      <c r="D5" s="10" t="inlineStr">
        <is>
          <t>Unit</t>
        </is>
      </c>
      <c r="E5" s="10" t="inlineStr">
        <is>
          <t>Min</t>
        </is>
      </c>
      <c r="F5" s="10" t="inlineStr">
        <is>
          <t>Max</t>
        </is>
      </c>
      <c r="G5" s="10" t="inlineStr">
        <is>
          <t>Basis / source</t>
        </is>
      </c>
      <c r="H5" s="10" t="inlineStr">
        <is>
          <t>Owner</t>
        </is>
      </c>
      <c r="I5" s="10" t="inlineStr">
        <is>
          <t>Governs (KPIs affected)</t>
        </is>
      </c>
    </row>
    <row r="6">
      <c r="A6" s="11" t="inlineStr">
        <is>
          <t>DEMAND</t>
        </is>
      </c>
      <c r="B6" s="12" t="n"/>
      <c r="C6" s="12" t="n"/>
      <c r="D6" s="12" t="n"/>
      <c r="E6" s="12" t="n"/>
      <c r="F6" s="12" t="n"/>
      <c r="G6" s="12" t="n"/>
      <c r="H6" s="12" t="n"/>
      <c r="I6" s="12" t="n"/>
    </row>
    <row r="7">
      <c r="A7" s="13" t="inlineStr">
        <is>
          <t>demand_growth_pct</t>
        </is>
      </c>
      <c r="B7" s="14" t="inlineStr">
        <is>
          <t>Demand growth (annual)</t>
        </is>
      </c>
      <c r="C7" s="15" t="n">
        <v>0.05</v>
      </c>
      <c r="D7" s="13" t="inlineStr">
        <is>
          <t>%</t>
        </is>
      </c>
      <c r="E7" s="13" t="n">
        <v>-0.3</v>
      </c>
      <c r="F7" s="13" t="n">
        <v>0.5</v>
      </c>
      <c r="G7" s="14" t="inlineStr">
        <is>
          <t>Programme growth trend over the reporting window</t>
        </is>
      </c>
      <c r="H7" s="13" t="inlineStr">
        <is>
          <t>Programme</t>
        </is>
      </c>
      <c r="I7" s="14" t="inlineStr">
        <is>
          <t>Consumption value, purchase requirement, funding gap, cost per beneficiary</t>
        </is>
      </c>
    </row>
    <row r="8">
      <c r="A8" s="13" t="inlineStr">
        <is>
          <t>service_volume_growth_pct</t>
        </is>
      </c>
      <c r="B8" s="14" t="inlineStr">
        <is>
          <t>Service volume (beneficiary) growth</t>
        </is>
      </c>
      <c r="C8" s="15" t="n">
        <v>0.04</v>
      </c>
      <c r="D8" s="13" t="inlineStr">
        <is>
          <t>%</t>
        </is>
      </c>
      <c r="E8" s="13" t="n">
        <v>-0.3</v>
      </c>
      <c r="F8" s="13" t="n">
        <v>0.5</v>
      </c>
      <c r="G8" s="14" t="inlineStr">
        <is>
          <t>Beneficiary trend in the service-delivery data</t>
        </is>
      </c>
      <c r="H8" s="13" t="inlineStr">
        <is>
          <t>Programme</t>
        </is>
      </c>
      <c r="I8" s="14" t="inlineStr">
        <is>
          <t>Cost per beneficiary</t>
        </is>
      </c>
    </row>
    <row r="9">
      <c r="A9" s="13" t="inlineStr">
        <is>
          <t>activity_factor</t>
        </is>
      </c>
      <c r="B9" s="14" t="inlineStr">
        <is>
          <t>Project activity factor (next 12 months)</t>
        </is>
      </c>
      <c r="C9" s="16" t="n">
        <v>1</v>
      </c>
      <c r="D9" s="13" t="inlineStr">
        <is>
          <t>Ratio</t>
        </is>
      </c>
      <c r="E9" s="13" t="n">
        <v>0.1</v>
      </c>
      <c r="F9" s="13" t="n">
        <v>1</v>
      </c>
      <c r="G9" s="14" t="inlineStr">
        <is>
          <t>Share of the next 12 months in which at least one project is active (from project end dates)</t>
        </is>
      </c>
      <c r="H9" s="13" t="inlineStr">
        <is>
          <t>Programme</t>
        </is>
      </c>
      <c r="I9" s="14" t="inlineStr">
        <is>
          <t>All annualised projections</t>
        </is>
      </c>
    </row>
    <row r="10">
      <c r="A10" s="11" t="inlineStr">
        <is>
          <t>PRICE</t>
        </is>
      </c>
      <c r="B10" s="12" t="n"/>
      <c r="C10" s="12" t="n"/>
      <c r="D10" s="12" t="n"/>
      <c r="E10" s="12" t="n"/>
      <c r="F10" s="12" t="n"/>
      <c r="G10" s="12" t="n"/>
      <c r="H10" s="12" t="n"/>
      <c r="I10" s="12" t="n"/>
    </row>
    <row r="11">
      <c r="A11" s="13" t="inlineStr">
        <is>
          <t>price_inflation_pct</t>
        </is>
      </c>
      <c r="B11" s="14" t="inlineStr">
        <is>
          <t>Price inflation (annual)</t>
        </is>
      </c>
      <c r="C11" s="15" t="n">
        <v>0.09</v>
      </c>
      <c r="D11" s="13" t="inlineStr">
        <is>
          <t>%</t>
        </is>
      </c>
      <c r="E11" s="13" t="n">
        <v>-0.1</v>
      </c>
      <c r="F11" s="13" t="n">
        <v>0.4</v>
      </c>
      <c r="G11" s="14" t="inlineStr">
        <is>
          <t>Weighted average unit-price movement in the purchase history</t>
        </is>
      </c>
      <c r="H11" s="13" t="inlineStr">
        <is>
          <t>Procurement</t>
        </is>
      </c>
      <c r="I11" s="14" t="inlineStr">
        <is>
          <t>Consumption value, purchase value, funding gap, price variance</t>
        </is>
      </c>
    </row>
    <row r="12">
      <c r="A12" s="13" t="inlineStr">
        <is>
          <t>price_shock_pct</t>
        </is>
      </c>
      <c r="B12" s="14" t="inlineStr">
        <is>
          <t>One-off price shock</t>
        </is>
      </c>
      <c r="C12" s="15" t="n">
        <v>0</v>
      </c>
      <c r="D12" s="13" t="inlineStr">
        <is>
          <t>%</t>
        </is>
      </c>
      <c r="E12" s="13" t="n">
        <v>-0.2</v>
      </c>
      <c r="F12" s="13" t="n">
        <v>0.5</v>
      </c>
      <c r="G12" s="14" t="inlineStr">
        <is>
          <t>Scenario lever for a market, currency or contract event</t>
        </is>
      </c>
      <c r="H12" s="13" t="inlineStr">
        <is>
          <t>Procurement</t>
        </is>
      </c>
      <c r="I12" s="14" t="inlineStr">
        <is>
          <t>Consumption value, purchase value, funding gap</t>
        </is>
      </c>
    </row>
    <row r="13">
      <c r="A13" s="13" t="inlineStr">
        <is>
          <t>bulk_discount_pct</t>
        </is>
      </c>
      <c r="B13" s="14" t="inlineStr">
        <is>
          <t>Bulk / framework discount</t>
        </is>
      </c>
      <c r="C13" s="15" t="n">
        <v>0</v>
      </c>
      <c r="D13" s="13" t="inlineStr">
        <is>
          <t>%</t>
        </is>
      </c>
      <c r="E13" s="13" t="n">
        <v>0</v>
      </c>
      <c r="F13" s="13" t="n">
        <v>0.25</v>
      </c>
      <c r="G13" s="14" t="inlineStr">
        <is>
          <t>Negotiated discount on consolidated demand</t>
        </is>
      </c>
      <c r="H13" s="13" t="inlineStr">
        <is>
          <t>Procurement</t>
        </is>
      </c>
      <c r="I13" s="14" t="inlineStr">
        <is>
          <t>Purchase value, ratio</t>
        </is>
      </c>
    </row>
    <row r="14">
      <c r="A14" s="11" t="inlineStr">
        <is>
          <t>SUPPLY</t>
        </is>
      </c>
      <c r="B14" s="12" t="n"/>
      <c r="C14" s="12" t="n"/>
      <c r="D14" s="12" t="n"/>
      <c r="E14" s="12" t="n"/>
      <c r="F14" s="12" t="n"/>
      <c r="G14" s="12" t="n"/>
      <c r="H14" s="12" t="n"/>
      <c r="I14" s="12" t="n"/>
    </row>
    <row r="15">
      <c r="A15" s="13" t="inlineStr">
        <is>
          <t>lead_time_multiplier</t>
        </is>
      </c>
      <c r="B15" s="14" t="inlineStr">
        <is>
          <t>Supplier lead-time multiplier</t>
        </is>
      </c>
      <c r="C15" s="16" t="n">
        <v>1</v>
      </c>
      <c r="D15" s="13" t="inlineStr">
        <is>
          <t>x</t>
        </is>
      </c>
      <c r="E15" s="13" t="n">
        <v>0.5</v>
      </c>
      <c r="F15" s="13" t="n">
        <v>3</v>
      </c>
      <c r="G15" s="14" t="inlineStr">
        <is>
          <t>1.00 = current average lead time of the supplier base</t>
        </is>
      </c>
      <c r="H15" s="13" t="inlineStr">
        <is>
          <t>Procurement</t>
        </is>
      </c>
      <c r="I15" s="14" t="inlineStr">
        <is>
          <t>Stock-out risk, safety stock, target stock, purchase requirement</t>
        </is>
      </c>
    </row>
    <row r="16">
      <c r="A16" s="13" t="inlineStr">
        <is>
          <t>supplier_reliability_pct</t>
        </is>
      </c>
      <c r="B16" s="14" t="inlineStr">
        <is>
          <t>Supplier on-time reliability</t>
        </is>
      </c>
      <c r="C16" s="15" t="n">
        <v>0.9</v>
      </c>
      <c r="D16" s="13" t="inlineStr">
        <is>
          <t>%</t>
        </is>
      </c>
      <c r="E16" s="13" t="n">
        <v>0.4</v>
      </c>
      <c r="F16" s="13" t="n">
        <v>1</v>
      </c>
      <c r="G16" s="14" t="inlineStr">
        <is>
          <t>Share of orders received within the agreed lead time</t>
        </is>
      </c>
      <c r="H16" s="13" t="inlineStr">
        <is>
          <t>Procurement</t>
        </is>
      </c>
      <c r="I16" s="14" t="inlineStr">
        <is>
          <t>Safety stock, stock-out risk</t>
        </is>
      </c>
    </row>
    <row r="17">
      <c r="A17" s="11" t="inlineStr">
        <is>
          <t>POLICY</t>
        </is>
      </c>
      <c r="B17" s="12" t="n"/>
      <c r="C17" s="12" t="n"/>
      <c r="D17" s="12" t="n"/>
      <c r="E17" s="12" t="n"/>
      <c r="F17" s="12" t="n"/>
      <c r="G17" s="12" t="n"/>
      <c r="H17" s="12" t="n"/>
      <c r="I17" s="12" t="n"/>
    </row>
    <row r="18">
      <c r="A18" s="13" t="inlineStr">
        <is>
          <t>target_cover_days</t>
        </is>
      </c>
      <c r="B18" s="14" t="inlineStr">
        <is>
          <t>Target stock cover</t>
        </is>
      </c>
      <c r="C18" s="17" t="n">
        <v>90</v>
      </c>
      <c r="D18" s="13" t="inlineStr">
        <is>
          <t>Days</t>
        </is>
      </c>
      <c r="E18" s="13" t="n">
        <v>15</v>
      </c>
      <c r="F18" s="13" t="n">
        <v>240</v>
      </c>
      <c r="G18" s="14" t="inlineStr">
        <is>
          <t>Policy: cover to hold after each purchase cycle</t>
        </is>
      </c>
      <c r="H18" s="13" t="inlineStr">
        <is>
          <t>Head of Procurement</t>
        </is>
      </c>
      <c r="I18" s="14" t="inlineStr">
        <is>
          <t>Target stock level, purchase requirement, working capital, expiry risk</t>
        </is>
      </c>
    </row>
    <row r="19">
      <c r="A19" s="13" t="inlineStr">
        <is>
          <t>safety_stock_days</t>
        </is>
      </c>
      <c r="B19" s="14" t="inlineStr">
        <is>
          <t>Safety stock</t>
        </is>
      </c>
      <c r="C19" s="17" t="n">
        <v>15</v>
      </c>
      <c r="D19" s="13" t="inlineStr">
        <is>
          <t>Days</t>
        </is>
      </c>
      <c r="E19" s="13" t="n">
        <v>0</v>
      </c>
      <c r="F19" s="13" t="n">
        <v>90</v>
      </c>
      <c r="G19" s="14" t="inlineStr">
        <is>
          <t>Buffer against lead-time and demand variability</t>
        </is>
      </c>
      <c r="H19" s="13" t="inlineStr">
        <is>
          <t>Head of Procurement</t>
        </is>
      </c>
      <c r="I19" s="14" t="inlineStr">
        <is>
          <t>Target stock level, stock-out risk</t>
        </is>
      </c>
    </row>
    <row r="20">
      <c r="A20" s="13" t="inlineStr">
        <is>
          <t>max_cover_days</t>
        </is>
      </c>
      <c r="B20" s="14" t="inlineStr">
        <is>
          <t>Maximum acceptable cover</t>
        </is>
      </c>
      <c r="C20" s="17" t="n">
        <v>180</v>
      </c>
      <c r="D20" s="13" t="inlineStr">
        <is>
          <t>Days</t>
        </is>
      </c>
      <c r="E20" s="13" t="n">
        <v>60</v>
      </c>
      <c r="F20" s="13" t="n">
        <v>365</v>
      </c>
      <c r="G20" s="14" t="inlineStr">
        <is>
          <t>Above this, stock counts as overstocked</t>
        </is>
      </c>
      <c r="H20" s="13" t="inlineStr">
        <is>
          <t>Supply chain</t>
        </is>
      </c>
      <c r="I20" s="14" t="inlineStr">
        <is>
          <t>Overstock value, expiry risk</t>
        </is>
      </c>
    </row>
    <row r="21">
      <c r="A21" s="13" t="inlineStr">
        <is>
          <t>expiry_alert_days</t>
        </is>
      </c>
      <c r="B21" s="14" t="inlineStr">
        <is>
          <t>Expiry alert window</t>
        </is>
      </c>
      <c r="C21" s="17" t="n">
        <v>60</v>
      </c>
      <c r="D21" s="13" t="inlineStr">
        <is>
          <t>Days</t>
        </is>
      </c>
      <c r="E21" s="13" t="n">
        <v>15</v>
      </c>
      <c r="F21" s="13" t="n">
        <v>180</v>
      </c>
      <c r="G21" s="14" t="inlineStr">
        <is>
          <t>Alert before expiry for redistribution or consumption</t>
        </is>
      </c>
      <c r="H21" s="13" t="inlineStr">
        <is>
          <t>Stores</t>
        </is>
      </c>
      <c r="I21" s="14" t="inlineStr">
        <is>
          <t>Expiry risk value, disposition actions</t>
        </is>
      </c>
    </row>
    <row r="22">
      <c r="A22" s="13" t="inlineStr">
        <is>
          <t>wastage_rate_pct</t>
        </is>
      </c>
      <c r="B22" s="14" t="inlineStr">
        <is>
          <t>Wastage / write-off rate</t>
        </is>
      </c>
      <c r="C22" s="15" t="n">
        <v>0.015</v>
      </c>
      <c r="D22" s="13" t="inlineStr">
        <is>
          <t>%</t>
        </is>
      </c>
      <c r="E22" s="13" t="n">
        <v>0</v>
      </c>
      <c r="F22" s="13" t="n">
        <v>0.1</v>
      </c>
      <c r="G22" s="14" t="inlineStr">
        <is>
          <t>Observed expired and damaged stock as a share of consumption</t>
        </is>
      </c>
      <c r="H22" s="13" t="inlineStr">
        <is>
          <t>Stores</t>
        </is>
      </c>
      <c r="I22" s="14" t="inlineStr">
        <is>
          <t>Expiry risk value, purchase requirement</t>
        </is>
      </c>
    </row>
    <row r="23">
      <c r="A23" s="13" t="inlineStr">
        <is>
          <t>redistribution_share_pct</t>
        </is>
      </c>
      <c r="B23" s="14" t="inlineStr">
        <is>
          <t>Overstock redistributed</t>
        </is>
      </c>
      <c r="C23" s="15" t="n">
        <v>0</v>
      </c>
      <c r="D23" s="13" t="inlineStr">
        <is>
          <t>%</t>
        </is>
      </c>
      <c r="E23" s="13" t="n">
        <v>0</v>
      </c>
      <c r="F23" s="13" t="n">
        <v>1</v>
      </c>
      <c r="G23" s="14" t="inlineStr">
        <is>
          <t>Share of excess stock moved to a project with demand instead of being written off</t>
        </is>
      </c>
      <c r="H23" s="13" t="inlineStr">
        <is>
          <t>Supply chain</t>
        </is>
      </c>
      <c r="I23" s="14" t="inlineStr">
        <is>
          <t>Expiry risk value, purchase requirement</t>
        </is>
      </c>
    </row>
    <row r="24">
      <c r="A24" s="11" t="inlineStr">
        <is>
          <t>BUDGET</t>
        </is>
      </c>
      <c r="B24" s="12" t="n"/>
      <c r="C24" s="12" t="n"/>
      <c r="D24" s="12" t="n"/>
      <c r="E24" s="12" t="n"/>
      <c r="F24" s="12" t="n"/>
      <c r="G24" s="12" t="n"/>
      <c r="H24" s="12" t="n"/>
      <c r="I24" s="12" t="n"/>
    </row>
    <row r="25">
      <c r="A25" s="13" t="inlineStr">
        <is>
          <t>funding_cut_pct</t>
        </is>
      </c>
      <c r="B25" s="14" t="inlineStr">
        <is>
          <t>Funding reduction</t>
        </is>
      </c>
      <c r="C25" s="15" t="n">
        <v>0</v>
      </c>
      <c r="D25" s="13" t="inlineStr">
        <is>
          <t>%</t>
        </is>
      </c>
      <c r="E25" s="13" t="n">
        <v>0</v>
      </c>
      <c r="F25" s="13" t="n">
        <v>0.6</v>
      </c>
      <c r="G25" s="14" t="inlineStr">
        <is>
          <t>Scenario lever for a grant reduction or donor hold</t>
        </is>
      </c>
      <c r="H25" s="13" t="inlineStr">
        <is>
          <t>Finance &amp; Grants</t>
        </is>
      </c>
      <c r="I25" s="14" t="inlineStr">
        <is>
          <t>Budget available, funding gap, budget utilisation</t>
        </is>
      </c>
    </row>
    <row r="26">
      <c r="A26" s="13" t="inlineStr">
        <is>
          <t>budget_growth_pct</t>
        </is>
      </c>
      <c r="B26" s="14" t="inlineStr">
        <is>
          <t>Budget growth / reallocation</t>
        </is>
      </c>
      <c r="C26" s="15" t="n">
        <v>0</v>
      </c>
      <c r="D26" s="13" t="inlineStr">
        <is>
          <t>%</t>
        </is>
      </c>
      <c r="E26" s="13" t="n">
        <v>-0.3</v>
      </c>
      <c r="F26" s="13" t="n">
        <v>0.5</v>
      </c>
      <c r="G26" s="14" t="inlineStr">
        <is>
          <t>Approved additional budget or internal reallocation</t>
        </is>
      </c>
      <c r="H26" s="13" t="inlineStr">
        <is>
          <t>Finance &amp; Grants</t>
        </is>
      </c>
      <c r="I26" s="14" t="inlineStr">
        <is>
          <t>Budget available, funding gap, budget utilisation</t>
        </is>
      </c>
    </row>
    <row r="27">
      <c r="A27" s="11" t="inlineStr">
        <is>
          <t>POLICY</t>
        </is>
      </c>
      <c r="B27" s="12" t="n"/>
      <c r="C27" s="12" t="n"/>
      <c r="D27" s="12" t="n"/>
      <c r="E27" s="12" t="n"/>
      <c r="F27" s="12" t="n"/>
      <c r="G27" s="12" t="n"/>
      <c r="H27" s="12" t="n"/>
      <c r="I27" s="12" t="n"/>
    </row>
    <row r="28">
      <c r="A28" s="13" t="inlineStr">
        <is>
          <t>excess_stock_release_pct</t>
        </is>
      </c>
      <c r="B28" s="14" t="inlineStr">
        <is>
          <t>Excess stock used instead of buying</t>
        </is>
      </c>
      <c r="C28" s="15" t="n">
        <v>0.8</v>
      </c>
      <c r="D28" s="13" t="inlineStr">
        <is>
          <t>%</t>
        </is>
      </c>
      <c r="E28" s="13" t="n">
        <v>0</v>
      </c>
      <c r="F28" s="13" t="n">
        <v>1</v>
      </c>
      <c r="G28" s="14" t="inlineStr">
        <is>
          <t>Share of stock held above the target cover that offsets new purchases (redistribution or planned drawdown)</t>
        </is>
      </c>
      <c r="H28" s="13" t="inlineStr">
        <is>
          <t>Supply chain</t>
        </is>
      </c>
      <c r="I28" s="14" t="inlineStr">
        <is>
          <t>Purchase requirement, working capital, funding gap</t>
        </is>
      </c>
    </row>
    <row r="29">
      <c r="A29" s="11" t="inlineStr">
        <is>
          <t>SUPPLY</t>
        </is>
      </c>
      <c r="B29" s="12" t="n"/>
      <c r="C29" s="12" t="n"/>
      <c r="D29" s="12" t="n"/>
      <c r="E29" s="12" t="n"/>
      <c r="F29" s="12" t="n"/>
      <c r="G29" s="12" t="n"/>
      <c r="H29" s="12" t="n"/>
      <c r="I29" s="12" t="n"/>
    </row>
    <row r="30">
      <c r="A30" s="13" t="inlineStr">
        <is>
          <t>order_cycle_days</t>
        </is>
      </c>
      <c r="B30" s="14" t="inlineStr">
        <is>
          <t>Purchase cycle length</t>
        </is>
      </c>
      <c r="C30" s="17" t="n">
        <v>30</v>
      </c>
      <c r="D30" s="13" t="inlineStr">
        <is>
          <t>Days</t>
        </is>
      </c>
      <c r="E30" s="13" t="n">
        <v>7</v>
      </c>
      <c r="F30" s="13" t="n">
        <v>120</v>
      </c>
      <c r="G30" s="14" t="inlineStr">
        <is>
          <t>Days between requisition cycles</t>
        </is>
      </c>
      <c r="H30" s="13" t="inlineStr">
        <is>
          <t>Procurement</t>
        </is>
      </c>
      <c r="I30" s="14" t="inlineStr">
        <is>
          <t>Number of purchase cycles, order frequency, transaction load</t>
        </is>
      </c>
    </row>
    <row r="32">
      <c r="A32" s="18" t="inlineStr">
        <is>
          <t>THRESHOLDS (status bands)</t>
        </is>
      </c>
      <c r="B32" s="19" t="n"/>
      <c r="C32" s="19" t="n"/>
      <c r="D32" s="19" t="n"/>
      <c r="E32" s="19" t="n"/>
      <c r="F32" s="19" t="n"/>
      <c r="G32" s="19" t="n"/>
      <c r="H32" s="19" t="n"/>
      <c r="I32" s="19" t="n"/>
    </row>
    <row r="33">
      <c r="A33" s="13" t="inlineStr">
        <is>
          <t>P-01</t>
        </is>
      </c>
      <c r="B33" s="14" t="inlineStr">
        <is>
          <t>Data as at (report date)</t>
        </is>
      </c>
      <c r="C33" s="17" t="inlineStr">
        <is>
          <t>auto</t>
        </is>
      </c>
      <c r="D33" s="13" t="inlineStr">
        <is>
          <t>Date</t>
        </is>
      </c>
      <c r="E33" s="13" t="inlineStr"/>
      <c r="F33" s="13" t="inlineStr"/>
      <c r="G33" s="14" t="inlineStr">
        <is>
          <t>Later of last successful load and last closed period; shown on every page and stamped on every answer</t>
        </is>
      </c>
      <c r="H33" s="13" t="inlineStr">
        <is>
          <t>Business owner</t>
        </is>
      </c>
      <c r="I33" s="14" t="inlineStr">
        <is>
          <t>All status flags</t>
        </is>
      </c>
    </row>
    <row r="34">
      <c r="A34" s="13" t="inlineStr">
        <is>
          <t>P-02</t>
        </is>
      </c>
      <c r="B34" s="14" t="inlineStr">
        <is>
          <t>Consumption-to-investment ratio band</t>
        </is>
      </c>
      <c r="C34" s="17" t="inlineStr">
        <is>
          <t>0.80-1.05</t>
        </is>
      </c>
      <c r="D34" s="13" t="inlineStr">
        <is>
          <t>Ratio</t>
        </is>
      </c>
      <c r="E34" s="13" t="inlineStr"/>
      <c r="F34" s="13" t="inlineStr"/>
      <c r="G34" s="14" t="inlineStr">
        <is>
          <t>Below 0.80 = over-purchasing; above 1.05 = drawing down opening stock</t>
        </is>
      </c>
      <c r="H34" s="13" t="inlineStr">
        <is>
          <t>Business owner</t>
        </is>
      </c>
      <c r="I34" s="14" t="inlineStr">
        <is>
          <t>All status flags</t>
        </is>
      </c>
    </row>
    <row r="35">
      <c r="A35" s="13" t="inlineStr">
        <is>
          <t>P-03</t>
        </is>
      </c>
      <c r="B35" s="14" t="inlineStr">
        <is>
          <t>Consumption variance vs budget - investigate above</t>
        </is>
      </c>
      <c r="C35" s="17" t="n">
        <v>0.15</v>
      </c>
      <c r="D35" s="13" t="inlineStr">
        <is>
          <t>%</t>
        </is>
      </c>
      <c r="E35" s="13" t="inlineStr"/>
      <c r="F35" s="13" t="inlineStr"/>
      <c r="G35" s="14" t="inlineStr">
        <is>
          <t>Beyond this band the variance requires written commentary and an owner</t>
        </is>
      </c>
      <c r="H35" s="13" t="inlineStr">
        <is>
          <t>Business owner</t>
        </is>
      </c>
      <c r="I35" s="14" t="inlineStr">
        <is>
          <t>All status flags</t>
        </is>
      </c>
    </row>
    <row r="36">
      <c r="A36" s="13" t="inlineStr">
        <is>
          <t>P-04</t>
        </is>
      </c>
      <c r="B36" s="14" t="inlineStr">
        <is>
          <t>Materiality for mandatory commentary</t>
        </is>
      </c>
      <c r="C36" s="17" t="n">
        <v>250000</v>
      </c>
      <c r="D36" s="13" t="inlineStr">
        <is>
          <t>PKR</t>
        </is>
      </c>
      <c r="E36" s="13" t="inlineStr"/>
      <c r="F36" s="13" t="inlineStr"/>
      <c r="G36" s="14" t="inlineStr">
        <is>
          <t>PKR 250,000 or 10% of the category budget, whichever is lower</t>
        </is>
      </c>
      <c r="H36" s="13" t="inlineStr">
        <is>
          <t>Business owner</t>
        </is>
      </c>
      <c r="I36" s="14" t="inlineStr">
        <is>
          <t>All status flags</t>
        </is>
      </c>
    </row>
    <row r="37">
      <c r="A37" s="13" t="inlineStr">
        <is>
          <t>P-05</t>
        </is>
      </c>
      <c r="B37" s="14" t="inlineStr">
        <is>
          <t>Days of cover - critical threshold</t>
        </is>
      </c>
      <c r="C37" s="17" t="n">
        <v>30</v>
      </c>
      <c r="D37" s="13" t="inlineStr">
        <is>
          <t>Days</t>
        </is>
      </c>
      <c r="E37" s="13" t="inlineStr"/>
      <c r="F37" s="13" t="inlineStr"/>
      <c r="G37" s="14" t="inlineStr">
        <is>
          <t>Raise a purchase requisition or transfer immediately</t>
        </is>
      </c>
      <c r="H37" s="13" t="inlineStr">
        <is>
          <t>Business owner</t>
        </is>
      </c>
      <c r="I37" s="14" t="inlineStr">
        <is>
          <t>All status flags</t>
        </is>
      </c>
    </row>
    <row r="38">
      <c r="A38" s="13" t="inlineStr">
        <is>
          <t>P-06</t>
        </is>
      </c>
      <c r="B38" s="14" t="inlineStr">
        <is>
          <t>Days of cover - watch threshold</t>
        </is>
      </c>
      <c r="C38" s="17" t="n">
        <v>60</v>
      </c>
      <c r="D38" s="13" t="inlineStr">
        <is>
          <t>Days</t>
        </is>
      </c>
      <c r="E38" s="13" t="inlineStr"/>
      <c r="F38" s="13" t="inlineStr"/>
      <c r="G38" s="14" t="inlineStr">
        <is>
          <t>Include in the next monthly purchase plan</t>
        </is>
      </c>
      <c r="H38" s="13" t="inlineStr">
        <is>
          <t>Business owner</t>
        </is>
      </c>
      <c r="I38" s="14" t="inlineStr">
        <is>
          <t>All status flags</t>
        </is>
      </c>
    </row>
    <row r="39">
      <c r="A39" s="13" t="inlineStr">
        <is>
          <t>P-07</t>
        </is>
      </c>
      <c r="B39" s="14" t="inlineStr">
        <is>
          <t>Days of cover - overstock threshold</t>
        </is>
      </c>
      <c r="C39" s="17" t="n">
        <v>180</v>
      </c>
      <c r="D39" s="13" t="inlineStr">
        <is>
          <t>Days</t>
        </is>
      </c>
      <c r="E39" s="13" t="inlineStr"/>
      <c r="F39" s="13" t="inlineStr"/>
      <c r="G39" s="14" t="inlineStr">
        <is>
          <t>Freeze re-ordering and review redistribution</t>
        </is>
      </c>
      <c r="H39" s="13" t="inlineStr">
        <is>
          <t>Business owner</t>
        </is>
      </c>
      <c r="I39" s="14" t="inlineStr">
        <is>
          <t>All status flags</t>
        </is>
      </c>
    </row>
    <row r="40">
      <c r="A40" s="13" t="inlineStr">
        <is>
          <t>P-08</t>
        </is>
      </c>
      <c r="B40" s="14" t="inlineStr">
        <is>
          <t>Expiry alert window</t>
        </is>
      </c>
      <c r="C40" s="17" t="n">
        <v>60</v>
      </c>
      <c r="D40" s="13" t="inlineStr">
        <is>
          <t>Days</t>
        </is>
      </c>
      <c r="E40" s="13" t="inlineStr"/>
      <c r="F40" s="13" t="inlineStr"/>
      <c r="G40" s="14" t="inlineStr">
        <is>
          <t>Redistribute, consume first, or write off before expiry</t>
        </is>
      </c>
      <c r="H40" s="13" t="inlineStr">
        <is>
          <t>Business owner</t>
        </is>
      </c>
      <c r="I40" s="14" t="inlineStr">
        <is>
          <t>All status flags</t>
        </is>
      </c>
    </row>
    <row r="41">
      <c r="A41" s="13" t="inlineStr">
        <is>
          <t>P-09</t>
        </is>
      </c>
      <c r="B41" s="14" t="inlineStr">
        <is>
          <t>Price variance - investigate above</t>
        </is>
      </c>
      <c r="C41" s="17" t="n">
        <v>0.1</v>
      </c>
      <c r="D41" s="13" t="inlineStr">
        <is>
          <t>%</t>
        </is>
      </c>
      <c r="E41" s="13" t="inlineStr"/>
      <c r="F41" s="13" t="inlineStr"/>
      <c r="G41" s="14" t="inlineStr">
        <is>
          <t>Compare supplier quotes and check contract validity</t>
        </is>
      </c>
      <c r="H41" s="13" t="inlineStr">
        <is>
          <t>Business owner</t>
        </is>
      </c>
      <c r="I41" s="14" t="inlineStr">
        <is>
          <t>All status flags</t>
        </is>
      </c>
    </row>
    <row r="42">
      <c r="A42" s="13" t="inlineStr">
        <is>
          <t>P-10</t>
        </is>
      </c>
      <c r="B42" s="14" t="inlineStr">
        <is>
          <t>Unattributed consumption ceiling</t>
        </is>
      </c>
      <c r="C42" s="17" t="n">
        <v>0.01</v>
      </c>
      <c r="D42" s="13" t="inlineStr">
        <is>
          <t>%</t>
        </is>
      </c>
      <c r="E42" s="13" t="inlineStr"/>
      <c r="F42" s="13" t="inlineStr"/>
      <c r="G42" s="14" t="inlineStr">
        <is>
          <t>Above this, escalate to the project-coding owner</t>
        </is>
      </c>
      <c r="H42" s="13" t="inlineStr">
        <is>
          <t>Business owner</t>
        </is>
      </c>
      <c r="I42" s="14" t="inlineStr">
        <is>
          <t>All status flags</t>
        </is>
      </c>
    </row>
    <row r="43">
      <c r="A43" s="13" t="inlineStr">
        <is>
          <t>P-11</t>
        </is>
      </c>
      <c r="B43" s="14" t="inlineStr">
        <is>
          <t>Exception ageing before escalation</t>
        </is>
      </c>
      <c r="C43" s="17" t="n">
        <v>30</v>
      </c>
      <c r="D43" s="13" t="inlineStr">
        <is>
          <t>Days</t>
        </is>
      </c>
      <c r="E43" s="13" t="inlineStr"/>
      <c r="F43" s="13" t="inlineStr"/>
      <c r="G43" s="14" t="inlineStr">
        <is>
          <t>Escalate to the Head of Procurement</t>
        </is>
      </c>
      <c r="H43" s="13" t="inlineStr">
        <is>
          <t>Business owner</t>
        </is>
      </c>
      <c r="I43" s="14" t="inlineStr">
        <is>
          <t>All status flags</t>
        </is>
      </c>
    </row>
    <row r="44">
      <c r="A44" s="13" t="inlineStr">
        <is>
          <t>P-12</t>
        </is>
      </c>
      <c r="B44" s="14" t="inlineStr">
        <is>
          <t>Slow-moving lookback</t>
        </is>
      </c>
      <c r="C44" s="17" t="n">
        <v>6</v>
      </c>
      <c r="D44" s="13" t="inlineStr">
        <is>
          <t>Months</t>
        </is>
      </c>
      <c r="E44" s="13" t="inlineStr"/>
      <c r="F44" s="13" t="inlineStr"/>
      <c r="G44" s="14" t="inlineStr">
        <is>
          <t>Zero issues in the lookback with stock on hand = slow-moving</t>
        </is>
      </c>
      <c r="H44" s="13" t="inlineStr">
        <is>
          <t>Business owner</t>
        </is>
      </c>
      <c r="I44" s="14" t="inlineStr">
        <is>
          <t>All status flags</t>
        </is>
      </c>
    </row>
    <row r="45">
      <c r="A45" s="13" t="inlineStr">
        <is>
          <t>P-13</t>
        </is>
      </c>
      <c r="B45" s="14" t="inlineStr">
        <is>
          <t>Requirement-proposal cover target</t>
        </is>
      </c>
      <c r="C45" s="17" t="n">
        <v>90</v>
      </c>
      <c r="D45" s="13" t="inlineStr">
        <is>
          <t>Days</t>
        </is>
      </c>
      <c r="E45" s="13" t="inlineStr"/>
      <c r="F45" s="13" t="inlineStr"/>
      <c r="G45" s="14" t="inlineStr">
        <is>
          <t>Basis of the indicative purchase quantity (BRD FR-40)</t>
        </is>
      </c>
      <c r="H45" s="13" t="inlineStr">
        <is>
          <t>Business owner</t>
        </is>
      </c>
      <c r="I45" s="14" t="inlineStr">
        <is>
          <t>All status flags</t>
        </is>
      </c>
    </row>
    <row r="46">
      <c r="A46" s="13" t="inlineStr">
        <is>
          <t>P-14</t>
        </is>
      </c>
      <c r="B46" s="14" t="inlineStr">
        <is>
          <t>Stock-out tolerance</t>
        </is>
      </c>
      <c r="C46" s="17" t="n">
        <v>0</v>
      </c>
      <c r="D46" s="13" t="inlineStr">
        <is>
          <t>Items</t>
        </is>
      </c>
      <c r="E46" s="13" t="inlineStr"/>
      <c r="F46" s="13" t="inlineStr"/>
      <c r="G46" s="14" t="inlineStr">
        <is>
          <t>Any critical item below 15 days of cover is a service risk</t>
        </is>
      </c>
      <c r="H46" s="13" t="inlineStr">
        <is>
          <t>Business owner</t>
        </is>
      </c>
      <c r="I46" s="14" t="inlineStr">
        <is>
          <t>All status flags</t>
        </is>
      </c>
    </row>
    <row r="47">
      <c r="A47" s="13" t="inlineStr">
        <is>
          <t>P-15</t>
        </is>
      </c>
      <c r="B47" s="14" t="inlineStr">
        <is>
          <t>Budget utilisation expectation</t>
        </is>
      </c>
      <c r="C47" s="17" t="inlineStr">
        <is>
          <t>elapsed+/-15%</t>
        </is>
      </c>
      <c r="D47" s="13" t="inlineStr">
        <is>
          <t>%</t>
        </is>
      </c>
      <c r="E47" s="13" t="inlineStr"/>
      <c r="F47" s="13" t="inlineStr"/>
      <c r="G47" s="14" t="inlineStr">
        <is>
          <t>Under or over this band requires explanation</t>
        </is>
      </c>
      <c r="H47" s="13" t="inlineStr">
        <is>
          <t>Business owner</t>
        </is>
      </c>
      <c r="I47" s="14" t="inlineStr">
        <is>
          <t>All status flags</t>
        </is>
      </c>
    </row>
    <row r="49">
      <c r="A49" s="20" t="inlineStr">
        <is>
          <t>DATA-DERIVED BASELINE FACTS (recomputed at every refresh, not entered by hand)</t>
        </is>
      </c>
      <c r="B49" s="21" t="n"/>
      <c r="C49" s="21" t="n"/>
      <c r="D49" s="21" t="n"/>
      <c r="E49" s="21" t="n"/>
      <c r="F49" s="21" t="n"/>
      <c r="G49" s="21" t="n"/>
      <c r="H49" s="21" t="n"/>
      <c r="I49" s="21" t="n"/>
    </row>
    <row r="50" ht="32" customHeight="1">
      <c r="A50" s="10" t="inlineStr">
        <is>
          <t>Fact</t>
        </is>
      </c>
      <c r="B50" s="10" t="inlineStr">
        <is>
          <t>Value</t>
        </is>
      </c>
      <c r="C50" s="10" t="inlineStr">
        <is>
          <t>Unit</t>
        </is>
      </c>
      <c r="D50" s="10" t="inlineStr"/>
      <c r="E50" s="10" t="inlineStr"/>
      <c r="F50" s="10" t="inlineStr"/>
      <c r="G50" s="10" t="inlineStr">
        <is>
          <t>How it is derived</t>
        </is>
      </c>
      <c r="H50" s="10" t="inlineStr"/>
      <c r="I50" s="10" t="inlineStr"/>
    </row>
    <row r="51">
      <c r="A51" s="13" t="inlineStr">
        <is>
          <t>Annualised consumption run rate</t>
        </is>
      </c>
      <c r="B51" s="22" t="n">
        <v>135073507.52</v>
      </c>
      <c r="C51" s="13" t="inlineStr">
        <is>
          <t>PKR</t>
        </is>
      </c>
      <c r="D51" s="13" t="inlineStr"/>
      <c r="E51" s="13" t="inlineStr"/>
      <c r="F51" s="13" t="inlineStr"/>
      <c r="G51" s="14" t="inlineStr">
        <is>
          <t>Average of the last three months x 12</t>
        </is>
      </c>
      <c r="H51" s="13" t="inlineStr"/>
      <c r="I51" s="13" t="inlineStr"/>
    </row>
    <row r="52">
      <c r="A52" s="13" t="inlineStr">
        <is>
          <t>Annual budget (product categories)</t>
        </is>
      </c>
      <c r="B52" s="22" t="n">
        <v>152105333.33</v>
      </c>
      <c r="C52" s="13" t="inlineStr">
        <is>
          <t>PKR</t>
        </is>
      </c>
      <c r="D52" s="13" t="inlineStr"/>
      <c r="E52" s="13" t="inlineStr"/>
      <c r="F52" s="13" t="inlineStr"/>
      <c r="G52" s="14" t="inlineStr">
        <is>
          <t>Product budget in the window, annualised</t>
        </is>
      </c>
      <c r="H52" s="13" t="inlineStr"/>
      <c r="I52" s="13" t="inlineStr"/>
    </row>
    <row r="53">
      <c r="A53" s="13" t="inlineStr">
        <is>
          <t>Stock on hand value</t>
        </is>
      </c>
      <c r="B53" s="22" t="n">
        <v>41090443.94</v>
      </c>
      <c r="C53" s="13" t="inlineStr">
        <is>
          <t>PKR</t>
        </is>
      </c>
      <c r="D53" s="13" t="inlineStr"/>
      <c r="E53" s="13" t="inlineStr"/>
      <c r="F53" s="13" t="inlineStr"/>
      <c r="G53" s="14" t="inlineStr">
        <is>
          <t>Receipts less issues, valued at batch cost</t>
        </is>
      </c>
      <c r="H53" s="13" t="inlineStr"/>
      <c r="I53" s="13" t="inlineStr"/>
    </row>
    <row r="54">
      <c r="A54" s="13" t="inlineStr">
        <is>
          <t>Open commitment</t>
        </is>
      </c>
      <c r="B54" s="22" t="n">
        <v>4467950.63</v>
      </c>
      <c r="C54" s="13" t="inlineStr">
        <is>
          <t>PKR</t>
        </is>
      </c>
      <c r="D54" s="13" t="inlineStr"/>
      <c r="E54" s="13" t="inlineStr"/>
      <c r="F54" s="13" t="inlineStr"/>
      <c r="G54" s="14" t="inlineStr">
        <is>
          <t>Ordered less received, at PO price</t>
        </is>
      </c>
      <c r="H54" s="13" t="inlineStr"/>
      <c r="I54" s="13" t="inlineStr"/>
    </row>
    <row r="55">
      <c r="A55" s="13" t="inlineStr">
        <is>
          <t>Annual beneficiaries</t>
        </is>
      </c>
      <c r="B55" s="13" t="n">
        <v>302112</v>
      </c>
      <c r="C55" s="13" t="inlineStr">
        <is>
          <t>People</t>
        </is>
      </c>
      <c r="D55" s="13" t="inlineStr"/>
      <c r="E55" s="13" t="inlineStr"/>
      <c r="F55" s="13" t="inlineStr"/>
      <c r="G55" s="14" t="inlineStr">
        <is>
          <t>Service-delivery counts, annualised</t>
        </is>
      </c>
      <c r="H55" s="13" t="inlineStr"/>
      <c r="I55" s="13" t="inlineStr"/>
    </row>
    <row r="56">
      <c r="A56" s="13" t="inlineStr">
        <is>
          <t>Near-expiry share of stock</t>
        </is>
      </c>
      <c r="B56" s="23" t="n">
        <v>0.0386</v>
      </c>
      <c r="C56" s="13" t="inlineStr">
        <is>
          <t>%</t>
        </is>
      </c>
      <c r="D56" s="13" t="inlineStr"/>
      <c r="E56" s="13" t="inlineStr"/>
      <c r="F56" s="13" t="inlineStr"/>
      <c r="G56" s="14" t="inlineStr">
        <is>
          <t>Value expiring within 90 days / stock value</t>
        </is>
      </c>
      <c r="H56" s="13" t="inlineStr"/>
      <c r="I56" s="13" t="inlineStr"/>
    </row>
    <row r="57">
      <c r="A57" s="13" t="inlineStr">
        <is>
          <t>Average supplier lead time</t>
        </is>
      </c>
      <c r="B57" s="13" t="n">
        <v>32</v>
      </c>
      <c r="C57" s="13" t="inlineStr">
        <is>
          <t>Days</t>
        </is>
      </c>
      <c r="D57" s="13" t="inlineStr"/>
      <c r="E57" s="13" t="inlineStr"/>
      <c r="F57" s="13" t="inlineStr"/>
      <c r="G57" s="14" t="inlineStr">
        <is>
          <t>PO date to first receipt</t>
        </is>
      </c>
      <c r="H57" s="13" t="inlineStr"/>
      <c r="I57" s="13" t="inlineStr"/>
    </row>
    <row r="58">
      <c r="A58" s="13" t="inlineStr">
        <is>
          <t>Items below the watch threshold</t>
        </is>
      </c>
      <c r="B58" s="13" t="n">
        <v>3</v>
      </c>
      <c r="C58" s="13" t="inlineStr">
        <is>
          <t>Items</t>
        </is>
      </c>
      <c r="D58" s="13" t="inlineStr"/>
      <c r="E58" s="13" t="inlineStr"/>
      <c r="F58" s="13" t="inlineStr"/>
      <c r="G58" s="14" t="inlineStr">
        <is>
          <t>Cover below 60 days</t>
        </is>
      </c>
      <c r="H58" s="13" t="inlineStr"/>
      <c r="I58" s="13" t="inlineStr"/>
    </row>
  </sheetData>
  <mergeCells count="1">
    <mergeCell ref="A2:I2"/>
  </mergeCells>
  <pageMargins left="0.75" right="0.75" top="1" bottom="1" header="0.5" footer="0.5"/>
</worksheet>
</file>

<file path=xl/worksheets/sheet3.xml><?xml version="1.0" encoding="utf-8"?>
<worksheet xmlns="http://schemas.openxmlformats.org/spreadsheetml/2006/main">
  <sheetPr>
    <tabColor rgb="00F2A65A"/>
    <outlinePr summaryBelow="1" summaryRight="1"/>
    <pageSetUpPr/>
  </sheetPr>
  <dimension ref="A1:F44"/>
  <sheetViews>
    <sheetView showGridLines="0" zoomScale="90" workbookViewId="0">
      <selection activeCell="A1" sqref="A1"/>
    </sheetView>
  </sheetViews>
  <sheetFormatPr baseColWidth="8" defaultRowHeight="15"/>
  <cols>
    <col width="4" customWidth="1" min="1" max="1"/>
    <col width="46" customWidth="1" min="2" max="2"/>
    <col width="18" customWidth="1" min="3" max="3"/>
    <col width="14" customWidth="1" min="4" max="4"/>
    <col width="60" customWidth="1" min="5" max="5"/>
  </cols>
  <sheetData>
    <row r="1">
      <c r="A1" s="1" t="inlineStr">
        <is>
          <t>Live calculator – change a yellow cell and the outputs recalculate in Excel</t>
        </is>
      </c>
    </row>
    <row r="2">
      <c r="A2" s="2" t="inlineStr">
        <is>
          <t>Reproduces the core model equations. Use it for quick conversations; use 03–08 for the full scenario set.</t>
        </is>
      </c>
    </row>
    <row r="5">
      <c r="B5" s="24" t="inlineStr">
        <is>
          <t>INPUTS</t>
        </is>
      </c>
    </row>
    <row r="6">
      <c r="B6" s="8" t="inlineStr">
        <is>
          <t>Demand growth</t>
        </is>
      </c>
      <c r="C6" s="25" t="n">
        <v>0.05</v>
      </c>
      <c r="D6" s="2" t="inlineStr">
        <is>
          <t>input</t>
        </is>
      </c>
      <c r="E6" s="2" t="inlineStr"/>
    </row>
    <row r="7">
      <c r="B7" s="8" t="inlineStr">
        <is>
          <t>Price inflation</t>
        </is>
      </c>
      <c r="C7" s="25" t="n">
        <v>0.09</v>
      </c>
      <c r="D7" s="2" t="inlineStr">
        <is>
          <t>input</t>
        </is>
      </c>
      <c r="E7" s="2" t="inlineStr"/>
    </row>
    <row r="8">
      <c r="B8" s="8" t="inlineStr">
        <is>
          <t>One-off price shock</t>
        </is>
      </c>
      <c r="C8" s="25" t="n">
        <v>0</v>
      </c>
      <c r="D8" s="2" t="inlineStr">
        <is>
          <t>input</t>
        </is>
      </c>
      <c r="E8" s="2" t="inlineStr"/>
    </row>
    <row r="9">
      <c r="B9" s="8" t="inlineStr">
        <is>
          <t>Bulk / framework discount</t>
        </is>
      </c>
      <c r="C9" s="25" t="n">
        <v>0</v>
      </c>
      <c r="D9" s="2" t="inlineStr">
        <is>
          <t>input</t>
        </is>
      </c>
      <c r="E9" s="2" t="inlineStr"/>
    </row>
    <row r="10">
      <c r="B10" s="8" t="inlineStr">
        <is>
          <t>Lead-time multiplier</t>
        </is>
      </c>
      <c r="C10" s="26" t="n">
        <v>1</v>
      </c>
      <c r="D10" s="2" t="inlineStr">
        <is>
          <t>input</t>
        </is>
      </c>
      <c r="E10" s="2" t="inlineStr"/>
    </row>
    <row r="11">
      <c r="B11" s="8" t="inlineStr">
        <is>
          <t>Supplier reliability</t>
        </is>
      </c>
      <c r="C11" s="25" t="n">
        <v>0.9</v>
      </c>
      <c r="D11" s="2" t="inlineStr">
        <is>
          <t>input</t>
        </is>
      </c>
      <c r="E11" s="2" t="inlineStr"/>
    </row>
    <row r="12">
      <c r="B12" s="8" t="inlineStr">
        <is>
          <t>Target stock cover (days)</t>
        </is>
      </c>
      <c r="C12" s="27" t="n">
        <v>90</v>
      </c>
      <c r="D12" s="2" t="inlineStr">
        <is>
          <t>input</t>
        </is>
      </c>
      <c r="E12" s="2" t="inlineStr"/>
    </row>
    <row r="13">
      <c r="B13" s="8" t="inlineStr">
        <is>
          <t>Safety stock (days)</t>
        </is>
      </c>
      <c r="C13" s="27" t="n">
        <v>15</v>
      </c>
      <c r="D13" s="2" t="inlineStr">
        <is>
          <t>input</t>
        </is>
      </c>
      <c r="E13" s="2" t="inlineStr"/>
    </row>
    <row r="14">
      <c r="B14" s="8" t="inlineStr">
        <is>
          <t>Excess stock used instead of buying</t>
        </is>
      </c>
      <c r="C14" s="25" t="n">
        <v>0.8</v>
      </c>
      <c r="D14" s="2" t="inlineStr">
        <is>
          <t>input</t>
        </is>
      </c>
      <c r="E14" s="2" t="inlineStr"/>
    </row>
    <row r="15">
      <c r="B15" s="8" t="inlineStr">
        <is>
          <t>Wastage rate</t>
        </is>
      </c>
      <c r="C15" s="25" t="n">
        <v>0.015</v>
      </c>
      <c r="D15" s="2" t="inlineStr">
        <is>
          <t>input</t>
        </is>
      </c>
      <c r="E15" s="2" t="inlineStr"/>
    </row>
    <row r="16">
      <c r="B16" s="8" t="inlineStr">
        <is>
          <t>Funding reduction</t>
        </is>
      </c>
      <c r="C16" s="25" t="n">
        <v>0</v>
      </c>
      <c r="D16" s="2" t="inlineStr">
        <is>
          <t>input</t>
        </is>
      </c>
      <c r="E16" s="2" t="inlineStr"/>
    </row>
    <row r="17">
      <c r="B17" s="8" t="inlineStr">
        <is>
          <t>Budget growth / reallocation</t>
        </is>
      </c>
      <c r="C17" s="25" t="n">
        <v>0</v>
      </c>
      <c r="D17" s="2" t="inlineStr">
        <is>
          <t>input</t>
        </is>
      </c>
      <c r="E17" s="2" t="inlineStr"/>
    </row>
    <row r="19">
      <c r="B19" s="24" t="inlineStr">
        <is>
          <t>FIXED BASELINE FACTS (from data)</t>
        </is>
      </c>
    </row>
    <row r="20">
      <c r="B20" s="8" t="inlineStr">
        <is>
          <t>Annualised consumption run rate (PKR)</t>
        </is>
      </c>
      <c r="C20" s="28" t="n">
        <v>135073507.52</v>
      </c>
    </row>
    <row r="21">
      <c r="B21" s="8" t="inlineStr">
        <is>
          <t>Annual budget (PKR)</t>
        </is>
      </c>
      <c r="C21" s="28" t="n">
        <v>152105333.33</v>
      </c>
    </row>
    <row r="22">
      <c r="B22" s="8" t="inlineStr">
        <is>
          <t>Stock on hand (PKR)</t>
        </is>
      </c>
      <c r="C22" s="28" t="n">
        <v>41090443.94</v>
      </c>
    </row>
    <row r="23">
      <c r="B23" s="8" t="inlineStr">
        <is>
          <t>Open commitment (PKR)</t>
        </is>
      </c>
      <c r="C23" s="28" t="n">
        <v>4467950.63</v>
      </c>
    </row>
    <row r="24">
      <c r="B24" s="8" t="inlineStr">
        <is>
          <t>Annual beneficiaries</t>
        </is>
      </c>
      <c r="C24" s="28" t="n">
        <v>302112</v>
      </c>
    </row>
    <row r="25">
      <c r="B25" s="8" t="inlineStr">
        <is>
          <t>Near-expiry share of stock</t>
        </is>
      </c>
      <c r="C25" s="29" t="n">
        <v>0.0386</v>
      </c>
    </row>
    <row r="26">
      <c r="B26" s="8" t="inlineStr">
        <is>
          <t>Average lead time (days)</t>
        </is>
      </c>
      <c r="C26" s="30" t="n">
        <v>32</v>
      </c>
    </row>
    <row r="28">
      <c r="B28" s="24" t="inlineStr">
        <is>
          <t>OUTPUTS (formulas)</t>
        </is>
      </c>
    </row>
    <row r="29">
      <c r="B29" s="31" t="inlineStr">
        <is>
          <t>Demand factor</t>
        </is>
      </c>
      <c r="C29" s="32">
        <f>1+$C$6</f>
        <v/>
      </c>
      <c r="E29" s="2" t="inlineStr">
        <is>
          <t>1 + demand growth</t>
        </is>
      </c>
    </row>
    <row r="30">
      <c r="B30" s="31" t="inlineStr">
        <is>
          <t>Price factor</t>
        </is>
      </c>
      <c r="C30" s="32">
        <f>(1+$C$7)*(1+$C$8)*(1-$C$9)</f>
        <v/>
      </c>
      <c r="E30" s="2" t="inlineStr">
        <is>
          <t>(1+inflation) x (1+shock) x (1-discount)</t>
        </is>
      </c>
    </row>
    <row r="31">
      <c r="B31" s="31" t="inlineStr">
        <is>
          <t>Projected consumption value (PKR)</t>
        </is>
      </c>
      <c r="C31" s="33">
        <f>$C$20*1+$C$6*(1+$C$7)*(1+$C$8)*(1-$C$9)</f>
        <v/>
      </c>
      <c r="E31" s="2" t="inlineStr">
        <is>
          <t>Run rate x demand factor x price factor</t>
        </is>
      </c>
    </row>
    <row r="32">
      <c r="B32" s="31" t="inlineStr">
        <is>
          <t>Target stock value (PKR)</t>
        </is>
      </c>
      <c r="C32" s="33">
        <f>$C$20*1+$C$6*(1+$C$7)*(1+$C$8)*(1-$C$9)*($C$12+$C$13+$C$26*$C$10*(1-$C$11))/365</f>
        <v/>
      </c>
      <c r="E32" s="2" t="inlineStr">
        <is>
          <t>Consumption x (cover + safety) / 365</t>
        </is>
      </c>
    </row>
    <row r="33">
      <c r="B33" s="31" t="inlineStr">
        <is>
          <t>Available stock (PKR)</t>
        </is>
      </c>
      <c r="C33" s="33">
        <f>$C$22+$C$23</f>
        <v/>
      </c>
      <c r="E33" s="2" t="inlineStr">
        <is>
          <t>On hand + open commitment</t>
        </is>
      </c>
    </row>
    <row r="34">
      <c r="B34" s="31" t="inlineStr">
        <is>
          <t>Top-up purchase (PKR)</t>
        </is>
      </c>
      <c r="C34" s="33">
        <f>MAX(0,$C$20*1+$C$6*(1+$C$7)*(1+$C$8)*(1-$C$9)*($C$12+$C$13+$C$26*$C$10*(1-$C$11))/365-$C$22+$C$23)</f>
        <v/>
      </c>
      <c r="E34" s="2" t="inlineStr">
        <is>
          <t>Shortfall against target stock</t>
        </is>
      </c>
    </row>
    <row r="35">
      <c r="B35" s="31" t="inlineStr">
        <is>
          <t>Stock released instead of buying (PKR)</t>
        </is>
      </c>
      <c r="C35" s="33">
        <f>MAX(0,$C$22+$C$23-$C$20*1+$C$6*(1+$C$7)*(1+$C$8)*(1-$C$9)*($C$12+$C$13+$C$26*$C$10*(1-$C$11))/365)*$C$14</f>
        <v/>
      </c>
      <c r="E35" s="2" t="inlineStr">
        <is>
          <t>Excess above target x release rate</t>
        </is>
      </c>
    </row>
    <row r="36">
      <c r="B36" s="31" t="inlineStr">
        <is>
          <t>Purchase requirement (PKR)</t>
        </is>
      </c>
      <c r="C36" s="33">
        <f>MAX(0,$C$20*1+$C$6*(1+$C$7)*(1+$C$8)*(1-$C$9)+MAX(0,$C$20*1+$C$6*(1+$C$7)*(1+$C$8)*(1-$C$9)*($C$12+$C$13+$C$26*$C$10*(1-$C$11))/365-$C$22+$C$23)+$C$15*$C$20*1+$C$6*(1+$C$7)*(1+$C$8)*(1-$C$9)-MAX(0,$C$22+$C$23-$C$20*1+$C$6*(1+$C$7)*(1+$C$8)*(1-$C$9)*($C$12+$C$13+$C$26*$C$10*(1-$C$11))/365)*$C$14)</f>
        <v/>
      </c>
      <c r="E36" s="2" t="inlineStr">
        <is>
          <t>Consumption + top-up + wastage - released</t>
        </is>
      </c>
    </row>
    <row r="37">
      <c r="B37" s="31" t="inlineStr">
        <is>
          <t>Consumption-to-purchase ratio</t>
        </is>
      </c>
      <c r="C37" s="34">
        <f>IF(MAX(0,$C$20*1+$C$6*(1+$C$7)*(1+$C$8)*(1-$C$9)+MAX(0,$C$20*1+$C$6*(1+$C$7)*(1+$C$8)*(1-$C$9)*($C$12+$C$13+$C$26*$C$10*(1-$C$11))/365-$C$22+$C$23)+$C$15*$C$20*1+$C$6*(1+$C$7)*(1+$C$8)*(1-$C$9)-MAX(0,$C$22+$C$23-$C$20*1+$C$6*(1+$C$7)*(1+$C$8)*(1-$C$9)*($C$12+$C$13+$C$26*$C$10*(1-$C$11))/365)*$C$14)=0,0,$C$20*1+$C$6*(1+$C$7)*(1+$C$8)*(1-$C$9)/MAX(0,$C$20*1+$C$6*(1+$C$7)*(1+$C$8)*(1-$C$9)+MAX(0,$C$20*1+$C$6*(1+$C$7)*(1+$C$8)*(1-$C$9)*($C$12+$C$13+$C$26*$C$10*(1-$C$11))/365-$C$22+$C$23)+$C$15*$C$20*1+$C$6*(1+$C$7)*(1+$C$8)*(1-$C$9)-MAX(0,$C$22+$C$23-$C$20*1+$C$6*(1+$C$7)*(1+$C$8)*(1-$C$9)*($C$12+$C$13+$C$26*$C$10*(1-$C$11))/365)*$C$14))</f>
        <v/>
      </c>
      <c r="E37" s="2" t="inlineStr">
        <is>
          <t>Consumption / purchase</t>
        </is>
      </c>
    </row>
    <row r="38">
      <c r="B38" s="31" t="inlineStr">
        <is>
          <t>Budget available (PKR)</t>
        </is>
      </c>
      <c r="C38" s="33">
        <f>$C$21*(1-$C$16)*(1+$C$17)</f>
        <v/>
      </c>
      <c r="E38" s="2" t="inlineStr">
        <is>
          <t>Budget x (1-cut) x (1+growth)</t>
        </is>
      </c>
    </row>
    <row r="39">
      <c r="B39" s="31" t="inlineStr">
        <is>
          <t>Budget utilisation</t>
        </is>
      </c>
      <c r="C39" s="35">
        <f>IF($C$21*(1-$C$16)*(1+$C$17)=0,0,$C$20*1+$C$6*(1+$C$7)*(1+$C$8)*(1-$C$9)/$C$21*(1-$C$16)*(1+$C$17))</f>
        <v/>
      </c>
      <c r="E39" s="2" t="inlineStr">
        <is>
          <t>Consumption / budget</t>
        </is>
      </c>
    </row>
    <row r="40">
      <c r="B40" s="31" t="inlineStr">
        <is>
          <t>Funding gap (PKR)</t>
        </is>
      </c>
      <c r="C40" s="33">
        <f>MAX(0,$C$20*1+$C$6*(1+$C$7)*(1+$C$8)*(1-$C$9)-$C$21*(1-$C$16)*(1+$C$17))</f>
        <v/>
      </c>
      <c r="E40" s="2" t="inlineStr">
        <is>
          <t>Consumption less budget available</t>
        </is>
      </c>
    </row>
    <row r="41">
      <c r="B41" s="31" t="inlineStr">
        <is>
          <t>Expiry risk value (PKR)</t>
        </is>
      </c>
      <c r="C41" s="33">
        <f>$C$25*$C$22+$C$15*$C$20*1+$C$6*(1+$C$7)*(1+$C$8)*(1-$C$9)</f>
        <v/>
      </c>
      <c r="E41" s="2" t="inlineStr">
        <is>
          <t>Near-expiry share x stock + wastage rate x consumption</t>
        </is>
      </c>
    </row>
    <row r="42">
      <c r="B42" s="31" t="inlineStr">
        <is>
          <t>Cost per beneficiary (PKR)</t>
        </is>
      </c>
      <c r="C42" s="33">
        <f>IF($C$24=0,0,$C$20*1+$C$6*(1+$C$7)*(1+$C$8)*(1-$C$9)/$C$24)</f>
        <v/>
      </c>
      <c r="E42" s="2" t="inlineStr">
        <is>
          <t>Consumption / beneficiaries</t>
        </is>
      </c>
    </row>
    <row r="44">
      <c r="B44" s="2" t="inlineStr">
        <is>
          <t>Tip: this sheet recalculates in Excel only. The values in 03–08 are computed by the Python model so that the workbook, the documents and the question bank always agree.</t>
        </is>
      </c>
    </row>
  </sheetData>
  <mergeCells count="1">
    <mergeCell ref="A2:F2"/>
  </mergeCells>
  <pageMargins left="0.75" right="0.75" top="1" bottom="1" header="0.5" footer="0.5"/>
</worksheet>
</file>

<file path=xl/worksheets/sheet4.xml><?xml version="1.0" encoding="utf-8"?>
<worksheet xmlns="http://schemas.openxmlformats.org/spreadsheetml/2006/main">
  <sheetPr>
    <tabColor rgb="004C78A8"/>
    <outlinePr summaryBelow="1" summaryRight="1"/>
    <pageSetUpPr/>
  </sheetPr>
  <dimension ref="A1:F14"/>
  <sheetViews>
    <sheetView showGridLines="0" zoomScale="90" workbookViewId="0">
      <selection activeCell="A1" sqref="A1"/>
    </sheetView>
  </sheetViews>
  <sheetFormatPr baseColWidth="8" defaultRowHeight="15"/>
  <cols>
    <col width="7" customWidth="1" min="1" max="1"/>
    <col width="44" customWidth="1" min="2" max="2"/>
    <col width="66" customWidth="1" min="3" max="3"/>
    <col width="70" customWidth="1" min="4" max="4"/>
  </cols>
  <sheetData>
    <row r="1">
      <c r="A1" s="1" t="inlineStr">
        <is>
          <t>Scenario definitions and levers</t>
        </is>
      </c>
    </row>
    <row r="2">
      <c r="A2" s="2" t="inlineStr">
        <is>
          <t>Each scenario is a named set of parameter overrides applied to the baseline. Add a scenario by adding an entry to config/parameters.json.</t>
        </is>
      </c>
    </row>
    <row r="5" ht="32" customHeight="1">
      <c r="A5" s="10" t="inlineStr">
        <is>
          <t>ID</t>
        </is>
      </c>
      <c r="B5" s="10" t="inlineStr">
        <is>
          <t>Scenario</t>
        </is>
      </c>
      <c r="C5" s="10" t="inlineStr">
        <is>
          <t>Rationale</t>
        </is>
      </c>
      <c r="D5" s="10" t="inlineStr">
        <is>
          <t>Levers moved (baseline → scenario)</t>
        </is>
      </c>
    </row>
    <row r="6" ht="44" customHeight="1">
      <c r="A6" s="13" t="inlineStr">
        <is>
          <t>S0</t>
        </is>
      </c>
      <c r="B6" s="14" t="inlineStr">
        <is>
          <t>Baseline (current parameters)</t>
        </is>
      </c>
      <c r="C6" s="14" t="inlineStr">
        <is>
          <t>Reference case: current demand, price, supply and policy. Every other scenario is measured against this.</t>
        </is>
      </c>
      <c r="D6" s="14" t="inlineStr">
        <is>
          <t>none (reference case)</t>
        </is>
      </c>
    </row>
    <row r="7" ht="44" customHeight="1">
      <c r="A7" s="13" t="inlineStr">
        <is>
          <t>S1</t>
        </is>
      </c>
      <c r="B7" s="14" t="inlineStr">
        <is>
          <t>Demand surge +20%</t>
        </is>
      </c>
      <c r="C7" s="14" t="inlineStr">
        <is>
          <t>Outbreak, flood response or a new campaign in the service area.</t>
        </is>
      </c>
      <c r="D7" s="14" t="inlineStr">
        <is>
          <t>demand_growth_pct: 0.05 → 0.2</t>
        </is>
      </c>
    </row>
    <row r="8" ht="44" customHeight="1">
      <c r="A8" s="13" t="inlineStr">
        <is>
          <t>S2</t>
        </is>
      </c>
      <c r="B8" s="14" t="inlineStr">
        <is>
          <t>Price shock +15%</t>
        </is>
      </c>
      <c r="C8" s="14" t="inlineStr">
        <is>
          <t>Currency depreciation, loss of a contract price or a supplier exit.</t>
        </is>
      </c>
      <c r="D8" s="14" t="inlineStr">
        <is>
          <t>price_shock_pct: 0.0 → 0.15</t>
        </is>
      </c>
    </row>
    <row r="9" ht="44" customHeight="1">
      <c r="A9" s="13" t="inlineStr">
        <is>
          <t>S3</t>
        </is>
      </c>
      <c r="B9" s="14" t="inlineStr">
        <is>
          <t>Supply disruption (lead time x1.6, reliability 70%)</t>
        </is>
      </c>
      <c r="C9" s="14" t="inlineStr">
        <is>
          <t>Import delay, port congestion or a single-source supplier failing.</t>
        </is>
      </c>
      <c r="D9" s="14" t="inlineStr">
        <is>
          <t>lead_time_multiplier: 1.0 → 1.6; supplier_reliability_pct: 0.9 → 0.7</t>
        </is>
      </c>
    </row>
    <row r="10" ht="44" customHeight="1">
      <c r="A10" s="13" t="inlineStr">
        <is>
          <t>S4</t>
        </is>
      </c>
      <c r="B10" s="14" t="inlineStr">
        <is>
          <t>Funding cut -20%</t>
        </is>
      </c>
      <c r="C10" s="14" t="inlineStr">
        <is>
          <t>Donor reduction or a hold on a grant instalment.</t>
        </is>
      </c>
      <c r="D10" s="14" t="inlineStr">
        <is>
          <t>funding_cut_pct: 0.0 → 0.2</t>
        </is>
      </c>
    </row>
    <row r="11" ht="44" customHeight="1">
      <c r="A11" s="13" t="inlineStr">
        <is>
          <t>S5</t>
        </is>
      </c>
      <c r="B11" s="14" t="inlineStr">
        <is>
          <t>Optimised policy (cover 60, safety 10, redistribute 60%)</t>
        </is>
      </c>
      <c r="C11" s="14" t="inlineStr">
        <is>
          <t>Tighter cover policy plus redistribution instead of new buying.</t>
        </is>
      </c>
      <c r="D11" s="14" t="inlineStr">
        <is>
          <t>target_cover_days: 90 → 60; safety_stock_days: 15 → 10; redistribution_share_pct: 0.0 → 0.6; excess_stock_release_pct: 0.8 → 0.9</t>
        </is>
      </c>
    </row>
    <row r="12" ht="44" customHeight="1">
      <c r="A12" s="13" t="inlineStr">
        <is>
          <t>S6</t>
        </is>
      </c>
      <c r="B12" s="14" t="inlineStr">
        <is>
          <t>Framework contracting (-8% price, lead time x0.8)</t>
        </is>
      </c>
      <c r="C12" s="14" t="inlineStr">
        <is>
          <t>Consolidate the top items into a framework agreement.</t>
        </is>
      </c>
      <c r="D12" s="14" t="inlineStr">
        <is>
          <t>bulk_discount_pct: 0.0 → 0.08; lead_time_multiplier: 1.0 → 0.8; supplier_reliability_pct: 0.9 → 0.95</t>
        </is>
      </c>
    </row>
    <row r="13" ht="44" customHeight="1">
      <c r="A13" s="13" t="inlineStr">
        <is>
          <t>S7</t>
        </is>
      </c>
      <c r="B13" s="14" t="inlineStr">
        <is>
          <t>Combined downside (demand +15%, price +10%, lead time x1.4, funding -10%)</t>
        </is>
      </c>
      <c r="C13" s="14" t="inlineStr">
        <is>
          <t>The plausible worst case: surge demand plus inflation plus supply delay plus a funding hold.</t>
        </is>
      </c>
      <c r="D13" s="14" t="inlineStr">
        <is>
          <t>demand_growth_pct: 0.05 → 0.15; price_shock_pct: 0.0 → 0.1; lead_time_multiplier: 1.0 → 1.4; supplier_reliability_pct: 0.9 → 0.75; funding_cut_pct: 0.0 → 0.1</t>
        </is>
      </c>
    </row>
    <row r="14" ht="44" customHeight="1">
      <c r="A14" s="13" t="inlineStr">
        <is>
          <t>S8</t>
        </is>
      </c>
      <c r="B14" s="14" t="inlineStr">
        <is>
          <t>Optimised response to the downside (S7 + policy and framework levers)</t>
        </is>
      </c>
      <c r="C14" s="14" t="inlineStr">
        <is>
          <t>Shows how much of the downside can be absorbed by levers available to management.</t>
        </is>
      </c>
      <c r="D14" s="14" t="inlineStr">
        <is>
          <t>demand_growth_pct: 0.05 → 0.15; price_shock_pct: 0.0 → 0.1; lead_time_multiplier: 1.0 → 1.2; supplier_reliability_pct: 0.9 → 0.85; funding_cut_pct: 0.0 → 0.1; target_cover_days: 90 → 60; safety_stock_days: 15 → 10; redistribution_share_pct: 0.0 → 0.6; bulk_discount_pct: 0.0 → 0.08</t>
        </is>
      </c>
    </row>
  </sheetData>
  <mergeCells count="1">
    <mergeCell ref="A2:F2"/>
  </mergeCells>
  <pageMargins left="0.75" right="0.75" top="1" bottom="1" header="0.5" footer="0.5"/>
</worksheet>
</file>

<file path=xl/worksheets/sheet5.xml><?xml version="1.0" encoding="utf-8"?>
<worksheet xmlns="http://schemas.openxmlformats.org/spreadsheetml/2006/main">
  <sheetPr>
    <tabColor rgb="004C78A8"/>
    <outlinePr summaryBelow="1" summaryRight="1"/>
    <pageSetUpPr/>
  </sheetPr>
  <dimension ref="A1:K14"/>
  <sheetViews>
    <sheetView showGridLines="0" zoomScale="90" workbookViewId="0">
      <selection activeCell="A1" sqref="A1"/>
    </sheetView>
  </sheetViews>
  <sheetFormatPr baseColWidth="8" defaultRowHeight="15"/>
  <cols>
    <col width="7" customWidth="1" min="1" max="1"/>
    <col width="40" customWidth="1" min="2" max="2"/>
    <col width="16" customWidth="1" min="3" max="3"/>
    <col width="16" customWidth="1" min="4" max="4"/>
    <col width="16" customWidth="1" min="5" max="5"/>
    <col width="12" customWidth="1" min="6" max="6"/>
    <col width="14" customWidth="1" min="7" max="7"/>
    <col width="14" customWidth="1" min="8" max="8"/>
    <col width="12" customWidth="1" min="9" max="9"/>
    <col width="14" customWidth="1" min="10" max="10"/>
    <col width="14" customWidth="1" min="11" max="11"/>
  </cols>
  <sheetData>
    <row r="1">
      <c r="A1" s="1" t="inlineStr">
        <is>
          <t>Scenario summary – forward 12 months</t>
        </is>
      </c>
    </row>
    <row r="2">
      <c r="A2" s="2" t="inlineStr">
        <is>
          <t>Δ columns compare the scenario with the baseline S0. Colour scales are relative across the scenario set.</t>
        </is>
      </c>
    </row>
    <row r="5" ht="32" customHeight="1">
      <c r="A5" s="10" t="inlineStr">
        <is>
          <t>ID</t>
        </is>
      </c>
      <c r="B5" s="10" t="inlineStr">
        <is>
          <t>Scenario</t>
        </is>
      </c>
      <c r="C5" s="10" t="inlineStr">
        <is>
          <t>Consumption</t>
        </is>
      </c>
      <c r="D5" s="10" t="inlineStr">
        <is>
          <t>Purchase requirement</t>
        </is>
      </c>
      <c r="E5" s="10" t="inlineStr">
        <is>
          <t>Funding gap</t>
        </is>
      </c>
      <c r="F5" s="10" t="inlineStr">
        <is>
          <t>Utilisation</t>
        </is>
      </c>
      <c r="G5" s="10" t="inlineStr">
        <is>
          <t>Δ Consumption</t>
        </is>
      </c>
      <c r="H5" s="10" t="inlineStr">
        <is>
          <t>Δ Purchase</t>
        </is>
      </c>
      <c r="I5" s="10" t="inlineStr">
        <is>
          <t>Stock-outs</t>
        </is>
      </c>
      <c r="J5" s="10" t="inlineStr">
        <is>
          <t>Expiry risk</t>
        </is>
      </c>
      <c r="K5" s="10" t="inlineStr">
        <is>
          <t>Working capital</t>
        </is>
      </c>
    </row>
    <row r="6">
      <c r="A6" s="36" t="inlineStr">
        <is>
          <t>S0</t>
        </is>
      </c>
      <c r="B6" s="36" t="inlineStr">
        <is>
          <t>Baseline (current parameters)</t>
        </is>
      </c>
      <c r="C6" s="37" t="n">
        <v>154591629.36</v>
      </c>
      <c r="D6" s="37" t="n">
        <v>157178997.71</v>
      </c>
      <c r="E6" s="37" t="n">
        <v>2486296.03</v>
      </c>
      <c r="F6" s="38" t="n">
        <v>1.016</v>
      </c>
      <c r="G6" s="37" t="n">
        <v>0</v>
      </c>
      <c r="H6" s="37" t="n">
        <v>0</v>
      </c>
      <c r="I6" s="37" t="n">
        <v>2</v>
      </c>
      <c r="J6" s="37" t="n">
        <v>3944941.69</v>
      </c>
      <c r="K6" s="37" t="n">
        <v>45826888.48</v>
      </c>
    </row>
    <row r="7">
      <c r="A7" s="13" t="inlineStr">
        <is>
          <t>S1</t>
        </is>
      </c>
      <c r="B7" s="13" t="inlineStr">
        <is>
          <t>Demand surge +20%</t>
        </is>
      </c>
      <c r="C7" s="22" t="n">
        <v>176676147.84</v>
      </c>
      <c r="D7" s="22" t="n">
        <v>186141482.32</v>
      </c>
      <c r="E7" s="22" t="n">
        <v>24570814.51</v>
      </c>
      <c r="F7" s="23" t="n">
        <v>1.162</v>
      </c>
      <c r="G7" s="22" t="n">
        <v>22084518.48</v>
      </c>
      <c r="H7" s="22" t="n">
        <v>28962484.61</v>
      </c>
      <c r="I7" s="22" t="n">
        <v>3</v>
      </c>
      <c r="J7" s="22" t="n">
        <v>4249735.75</v>
      </c>
      <c r="K7" s="22" t="n">
        <v>52373586.84</v>
      </c>
    </row>
    <row r="8">
      <c r="A8" s="13" t="inlineStr">
        <is>
          <t>S2</t>
        </is>
      </c>
      <c r="B8" s="13" t="inlineStr">
        <is>
          <t>Price shock +15%</t>
        </is>
      </c>
      <c r="C8" s="22" t="n">
        <v>177780373.76</v>
      </c>
      <c r="D8" s="22" t="n">
        <v>187589606.55</v>
      </c>
      <c r="E8" s="22" t="n">
        <v>25675040.43</v>
      </c>
      <c r="F8" s="23" t="n">
        <v>1.169</v>
      </c>
      <c r="G8" s="22" t="n">
        <v>23188744.4</v>
      </c>
      <c r="H8" s="22" t="n">
        <v>30410608.84</v>
      </c>
      <c r="I8" s="22" t="n">
        <v>2</v>
      </c>
      <c r="J8" s="22" t="n">
        <v>4292772.85</v>
      </c>
      <c r="K8" s="22" t="n">
        <v>52700921.76</v>
      </c>
    </row>
    <row r="9">
      <c r="A9" s="13" t="inlineStr">
        <is>
          <t>S3</t>
        </is>
      </c>
      <c r="B9" s="13" t="inlineStr">
        <is>
          <t>Supply disruption (lead time x1.6, reliability 70%)</t>
        </is>
      </c>
      <c r="C9" s="22" t="n">
        <v>154591629.36</v>
      </c>
      <c r="D9" s="22" t="n">
        <v>162329228.43</v>
      </c>
      <c r="E9" s="22" t="n">
        <v>2486296.03</v>
      </c>
      <c r="F9" s="23" t="n">
        <v>1.016</v>
      </c>
      <c r="G9" s="22" t="n">
        <v>0</v>
      </c>
      <c r="H9" s="22" t="n">
        <v>5150230.72</v>
      </c>
      <c r="I9" s="22" t="n">
        <v>18</v>
      </c>
      <c r="J9" s="22" t="n">
        <v>3944941.69</v>
      </c>
      <c r="K9" s="22" t="n">
        <v>50977119.2</v>
      </c>
    </row>
    <row r="10">
      <c r="A10" s="13" t="inlineStr">
        <is>
          <t>S4</t>
        </is>
      </c>
      <c r="B10" s="13" t="inlineStr">
        <is>
          <t>Funding cut -20%</t>
        </is>
      </c>
      <c r="C10" s="22" t="n">
        <v>154591629.36</v>
      </c>
      <c r="D10" s="22" t="n">
        <v>157178997.71</v>
      </c>
      <c r="E10" s="22" t="n">
        <v>32907362.69</v>
      </c>
      <c r="F10" s="23" t="n">
        <v>1.27</v>
      </c>
      <c r="G10" s="22" t="n">
        <v>0</v>
      </c>
      <c r="H10" s="22" t="n">
        <v>0</v>
      </c>
      <c r="I10" s="22" t="n">
        <v>2</v>
      </c>
      <c r="J10" s="22" t="n">
        <v>3944941.69</v>
      </c>
      <c r="K10" s="22" t="n">
        <v>45826888.48</v>
      </c>
    </row>
    <row r="11">
      <c r="A11" s="13" t="inlineStr">
        <is>
          <t>S5</t>
        </is>
      </c>
      <c r="B11" s="13" t="inlineStr">
        <is>
          <t>Optimised policy (cover 60, safety 10, redistribute 60%)</t>
        </is>
      </c>
      <c r="C11" s="22" t="n">
        <v>154591629.36</v>
      </c>
      <c r="D11" s="22" t="n">
        <v>143810678.94</v>
      </c>
      <c r="E11" s="22" t="n">
        <v>2486296.03</v>
      </c>
      <c r="F11" s="23" t="n">
        <v>1.016</v>
      </c>
      <c r="G11" s="22" t="n">
        <v>0</v>
      </c>
      <c r="H11" s="22" t="n">
        <v>-13368318.77</v>
      </c>
      <c r="I11" s="22" t="n">
        <v>2</v>
      </c>
      <c r="J11" s="22" t="n">
        <v>3920956.02</v>
      </c>
      <c r="K11" s="22" t="n">
        <v>31003033.61</v>
      </c>
    </row>
    <row r="12">
      <c r="A12" s="13" t="inlineStr">
        <is>
          <t>S6</t>
        </is>
      </c>
      <c r="B12" s="13" t="inlineStr">
        <is>
          <t>Framework contracting (-8% price, lead time x0.8)</t>
        </is>
      </c>
      <c r="C12" s="22" t="n">
        <v>142224299.01</v>
      </c>
      <c r="D12" s="22" t="n">
        <v>141041026.74</v>
      </c>
      <c r="E12" s="22" t="n">
        <v>0</v>
      </c>
      <c r="F12" s="23" t="n">
        <v>0.9350000000000001</v>
      </c>
      <c r="G12" s="22" t="n">
        <v>-12367330.35</v>
      </c>
      <c r="H12" s="22" t="n">
        <v>-16137970.97</v>
      </c>
      <c r="I12" s="22" t="n">
        <v>1</v>
      </c>
      <c r="J12" s="22" t="n">
        <v>3759431.73</v>
      </c>
      <c r="K12" s="22" t="n">
        <v>41412598.63</v>
      </c>
    </row>
    <row r="13">
      <c r="A13" s="13" t="inlineStr">
        <is>
          <t>S7</t>
        </is>
      </c>
      <c r="B13" s="13" t="inlineStr">
        <is>
          <t>Combined downside (demand +15%, price +10%, lead time x1.4, funding -10%)</t>
        </is>
      </c>
      <c r="C13" s="22" t="n">
        <v>186246105.84</v>
      </c>
      <c r="D13" s="22" t="n">
        <v>202773998.75</v>
      </c>
      <c r="E13" s="22" t="n">
        <v>49351305.85</v>
      </c>
      <c r="F13" s="23" t="n">
        <v>1.361</v>
      </c>
      <c r="G13" s="22" t="n">
        <v>31654476.48</v>
      </c>
      <c r="H13" s="22" t="n">
        <v>45595001.04</v>
      </c>
      <c r="I13" s="22" t="n">
        <v>14</v>
      </c>
      <c r="J13" s="22" t="n">
        <v>4397475.52</v>
      </c>
      <c r="K13" s="22" t="n">
        <v>59292595.89</v>
      </c>
    </row>
    <row r="14">
      <c r="A14" s="13" t="inlineStr">
        <is>
          <t>S8</t>
        </is>
      </c>
      <c r="B14" s="13" t="inlineStr">
        <is>
          <t>Optimised response to the downside (S7 + policy and framework levers)</t>
        </is>
      </c>
      <c r="C14" s="22" t="n">
        <v>171346417.38</v>
      </c>
      <c r="D14" s="22" t="n">
        <v>165921853.23</v>
      </c>
      <c r="E14" s="22" t="n">
        <v>34451617.38</v>
      </c>
      <c r="F14" s="23" t="n">
        <v>1.252</v>
      </c>
      <c r="G14" s="22" t="n">
        <v>16754788.02</v>
      </c>
      <c r="H14" s="22" t="n">
        <v>8742855.52</v>
      </c>
      <c r="I14" s="22" t="n">
        <v>5</v>
      </c>
      <c r="J14" s="22" t="n">
        <v>4163364.52</v>
      </c>
      <c r="K14" s="22" t="n">
        <v>35564944.06</v>
      </c>
    </row>
  </sheetData>
  <mergeCells count="1">
    <mergeCell ref="A2:K2"/>
  </mergeCells>
  <conditionalFormatting sqref="E6:E14">
    <cfRule type="colorScale" priority="1">
      <colorScale>
        <cfvo type="min"/>
        <cfvo type="percentile" val="50"/>
        <cfvo type="max"/>
        <color rgb="00C6EFCE"/>
        <color rgb="00FFEB9C"/>
        <color rgb="00F8CBAD"/>
      </colorScale>
    </cfRule>
  </conditionalFormatting>
  <conditionalFormatting sqref="F6:F14">
    <cfRule type="cellIs" priority="2" operator="greaterThan" dxfId="0">
      <formula>1</formula>
    </cfRule>
  </conditionalFormatting>
  <conditionalFormatting sqref="I6:I14">
    <cfRule type="cellIs" priority="3" operator="greaterThan" dxfId="1">
      <formula>4</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72B7B2"/>
    <outlinePr summaryBelow="1" summaryRight="1"/>
    <pageSetUpPr/>
  </sheetPr>
  <dimension ref="A1:G167"/>
  <sheetViews>
    <sheetView showGridLines="0" zoomScale="90" workbookViewId="0">
      <pane ySplit="5" topLeftCell="A6" activePane="bottomLeft" state="frozen"/>
      <selection pane="bottomLeft" activeCell="A1" sqref="A1"/>
    </sheetView>
  </sheetViews>
  <sheetFormatPr baseColWidth="8" defaultRowHeight="15"/>
  <cols>
    <col width="7" customWidth="1" min="1" max="1"/>
    <col width="34" customWidth="1" min="2" max="2"/>
    <col width="30" customWidth="1" min="3" max="3"/>
    <col width="16" customWidth="1" min="4" max="4"/>
    <col width="16" customWidth="1" min="5" max="5"/>
    <col width="16" customWidth="1" min="6" max="6"/>
    <col width="12" customWidth="1" min="7" max="7"/>
  </cols>
  <sheetData>
    <row r="1">
      <c r="A1" s="1" t="inlineStr">
        <is>
          <t>Scenario detail – every output for every scenario</t>
        </is>
      </c>
    </row>
    <row r="2">
      <c r="A2" s="2" t="inlineStr">
        <is>
          <t>Long format so it can be filtered and pivoted. Δ = scenario less baseline.</t>
        </is>
      </c>
    </row>
    <row r="5" ht="32" customHeight="1">
      <c r="A5" s="10" t="inlineStr">
        <is>
          <t>Scenario</t>
        </is>
      </c>
      <c r="B5" s="10" t="inlineStr">
        <is>
          <t>Scenario name</t>
        </is>
      </c>
      <c r="C5" s="10" t="inlineStr">
        <is>
          <t>Output</t>
        </is>
      </c>
      <c r="D5" s="10" t="inlineStr">
        <is>
          <t>Baseline</t>
        </is>
      </c>
      <c r="E5" s="10" t="inlineStr">
        <is>
          <t>Scenario value</t>
        </is>
      </c>
      <c r="F5" s="10" t="inlineStr">
        <is>
          <t>Delta</t>
        </is>
      </c>
      <c r="G5" s="10" t="inlineStr">
        <is>
          <t>Delta %</t>
        </is>
      </c>
    </row>
    <row r="6">
      <c r="A6" s="13" t="inlineStr">
        <is>
          <t>S0</t>
        </is>
      </c>
      <c r="B6" s="13" t="inlineStr">
        <is>
          <t>Baseline (current parameters)</t>
        </is>
      </c>
      <c r="C6" s="13" t="inlineStr">
        <is>
          <t>Consumption value (PKR)</t>
        </is>
      </c>
      <c r="D6" s="22" t="n">
        <v>154591629.36</v>
      </c>
      <c r="E6" s="22" t="n">
        <v>154591629.36</v>
      </c>
      <c r="F6" s="22" t="n">
        <v>0</v>
      </c>
      <c r="G6" s="23" t="n">
        <v>0</v>
      </c>
    </row>
    <row r="7">
      <c r="A7" s="13" t="inlineStr">
        <is>
          <t>S0</t>
        </is>
      </c>
      <c r="B7" s="13" t="inlineStr">
        <is>
          <t>Baseline (current parameters)</t>
        </is>
      </c>
      <c r="C7" s="13" t="inlineStr">
        <is>
          <t>Purchase requirement (PKR)</t>
        </is>
      </c>
      <c r="D7" s="22" t="n">
        <v>157178997.71</v>
      </c>
      <c r="E7" s="22" t="n">
        <v>157178997.71</v>
      </c>
      <c r="F7" s="22" t="n">
        <v>0</v>
      </c>
      <c r="G7" s="23" t="n">
        <v>0</v>
      </c>
    </row>
    <row r="8">
      <c r="A8" s="13" t="inlineStr">
        <is>
          <t>S0</t>
        </is>
      </c>
      <c r="B8" s="13" t="inlineStr">
        <is>
          <t>Baseline (current parameters)</t>
        </is>
      </c>
      <c r="C8" s="13" t="inlineStr">
        <is>
          <t>Top-up purchase (PKR)</t>
        </is>
      </c>
      <c r="D8" s="22" t="n">
        <v>268493.91</v>
      </c>
      <c r="E8" s="22" t="n">
        <v>268493.91</v>
      </c>
      <c r="F8" s="22" t="n">
        <v>0</v>
      </c>
      <c r="G8" s="23" t="n">
        <v>0</v>
      </c>
    </row>
    <row r="9">
      <c r="A9" s="13" t="inlineStr">
        <is>
          <t>S0</t>
        </is>
      </c>
      <c r="B9" s="13" t="inlineStr">
        <is>
          <t>Baseline (current parameters)</t>
        </is>
      </c>
      <c r="C9" s="13" t="inlineStr">
        <is>
          <t>Stock released instead of buying (PKR)</t>
        </is>
      </c>
      <c r="D9" s="22" t="n">
        <v>0</v>
      </c>
      <c r="E9" s="22" t="n">
        <v>0</v>
      </c>
      <c r="F9" s="22" t="n">
        <v>0</v>
      </c>
      <c r="G9" s="13" t="n"/>
    </row>
    <row r="10">
      <c r="A10" s="13" t="inlineStr">
        <is>
          <t>S0</t>
        </is>
      </c>
      <c r="B10" s="13" t="inlineStr">
        <is>
          <t>Baseline (current parameters)</t>
        </is>
      </c>
      <c r="C10" s="13" t="inlineStr">
        <is>
          <t>Budget available (PKR)</t>
        </is>
      </c>
      <c r="D10" s="22" t="n">
        <v>152105333.33</v>
      </c>
      <c r="E10" s="22" t="n">
        <v>152105333.33</v>
      </c>
      <c r="F10" s="22" t="n">
        <v>0</v>
      </c>
      <c r="G10" s="23" t="n">
        <v>0</v>
      </c>
    </row>
    <row r="11">
      <c r="A11" s="13" t="inlineStr">
        <is>
          <t>S0</t>
        </is>
      </c>
      <c r="B11" s="13" t="inlineStr">
        <is>
          <t>Baseline (current parameters)</t>
        </is>
      </c>
      <c r="C11" s="13" t="inlineStr">
        <is>
          <t>Funding gap (PKR)</t>
        </is>
      </c>
      <c r="D11" s="22" t="n">
        <v>2486296.03</v>
      </c>
      <c r="E11" s="22" t="n">
        <v>2486296.03</v>
      </c>
      <c r="F11" s="22" t="n">
        <v>0</v>
      </c>
      <c r="G11" s="23" t="n">
        <v>0</v>
      </c>
    </row>
    <row r="12">
      <c r="A12" s="13" t="inlineStr">
        <is>
          <t>S0</t>
        </is>
      </c>
      <c r="B12" s="13" t="inlineStr">
        <is>
          <t>Baseline (current parameters)</t>
        </is>
      </c>
      <c r="C12" s="13" t="inlineStr">
        <is>
          <t>Budget utilisation</t>
        </is>
      </c>
      <c r="D12" s="23" t="n">
        <v>1.016</v>
      </c>
      <c r="E12" s="23" t="n">
        <v>1.016</v>
      </c>
      <c r="F12" s="23" t="n">
        <v>0</v>
      </c>
      <c r="G12" s="23" t="n">
        <v>0</v>
      </c>
    </row>
    <row r="13">
      <c r="A13" s="13" t="inlineStr">
        <is>
          <t>S0</t>
        </is>
      </c>
      <c r="B13" s="13" t="inlineStr">
        <is>
          <t>Baseline (current parameters)</t>
        </is>
      </c>
      <c r="C13" s="13" t="inlineStr">
        <is>
          <t>Consumption-to-purchase ratio</t>
        </is>
      </c>
      <c r="D13" s="39" t="n">
        <v>0.984</v>
      </c>
      <c r="E13" s="39" t="n">
        <v>0.984</v>
      </c>
      <c r="F13" s="39" t="n">
        <v>0</v>
      </c>
      <c r="G13" s="23" t="n">
        <v>0</v>
      </c>
    </row>
    <row r="14">
      <c r="A14" s="13" t="inlineStr">
        <is>
          <t>S0</t>
        </is>
      </c>
      <c r="B14" s="13" t="inlineStr">
        <is>
          <t>Baseline (current parameters)</t>
        </is>
      </c>
      <c r="C14" s="13" t="inlineStr">
        <is>
          <t>Expiry risk value (PKR)</t>
        </is>
      </c>
      <c r="D14" s="22" t="n">
        <v>3944941.69</v>
      </c>
      <c r="E14" s="22" t="n">
        <v>3944941.69</v>
      </c>
      <c r="F14" s="22" t="n">
        <v>0</v>
      </c>
      <c r="G14" s="23" t="n">
        <v>0</v>
      </c>
    </row>
    <row r="15">
      <c r="A15" s="13" t="inlineStr">
        <is>
          <t>S0</t>
        </is>
      </c>
      <c r="B15" s="13" t="inlineStr">
        <is>
          <t>Baseline (current parameters)</t>
        </is>
      </c>
      <c r="C15" s="13" t="inlineStr">
        <is>
          <t>Overstock value (PKR)</t>
        </is>
      </c>
      <c r="D15" s="22" t="n">
        <v>114217.46</v>
      </c>
      <c r="E15" s="22" t="n">
        <v>114217.46</v>
      </c>
      <c r="F15" s="22" t="n">
        <v>0</v>
      </c>
      <c r="G15" s="23" t="n">
        <v>0</v>
      </c>
    </row>
    <row r="16">
      <c r="A16" s="13" t="inlineStr">
        <is>
          <t>S0</t>
        </is>
      </c>
      <c r="B16" s="13" t="inlineStr">
        <is>
          <t>Baseline (current parameters)</t>
        </is>
      </c>
      <c r="C16" s="13" t="inlineStr">
        <is>
          <t>Stock-out risk items</t>
        </is>
      </c>
      <c r="D16" s="22" t="n">
        <v>2</v>
      </c>
      <c r="E16" s="22" t="n">
        <v>2</v>
      </c>
      <c r="F16" s="22" t="n">
        <v>0</v>
      </c>
      <c r="G16" s="23" t="n">
        <v>0</v>
      </c>
    </row>
    <row r="17">
      <c r="A17" s="13" t="inlineStr">
        <is>
          <t>S0</t>
        </is>
      </c>
      <c r="B17" s="13" t="inlineStr">
        <is>
          <t>Baseline (current parameters)</t>
        </is>
      </c>
      <c r="C17" s="13" t="inlineStr">
        <is>
          <t>Working capital in stock (PKR)</t>
        </is>
      </c>
      <c r="D17" s="22" t="n">
        <v>45826888.48</v>
      </c>
      <c r="E17" s="22" t="n">
        <v>45826888.48</v>
      </c>
      <c r="F17" s="22" t="n">
        <v>0</v>
      </c>
      <c r="G17" s="23" t="n">
        <v>0</v>
      </c>
    </row>
    <row r="18">
      <c r="A18" s="13" t="inlineStr">
        <is>
          <t>S0</t>
        </is>
      </c>
      <c r="B18" s="13" t="inlineStr">
        <is>
          <t>Baseline (current parameters)</t>
        </is>
      </c>
      <c r="C18" s="13" t="inlineStr">
        <is>
          <t>Cost per beneficiary (PKR)</t>
        </is>
      </c>
      <c r="D18" s="22" t="n">
        <v>492.02</v>
      </c>
      <c r="E18" s="22" t="n">
        <v>492.02</v>
      </c>
      <c r="F18" s="22" t="n">
        <v>0</v>
      </c>
      <c r="G18" s="23" t="n">
        <v>0</v>
      </c>
    </row>
    <row r="19">
      <c r="A19" s="13" t="inlineStr">
        <is>
          <t>S0</t>
        </is>
      </c>
      <c r="B19" s="13" t="inlineStr">
        <is>
          <t>Baseline (current parameters)</t>
        </is>
      </c>
      <c r="C19" s="13" t="inlineStr">
        <is>
          <t>Beneficiaries (annual)</t>
        </is>
      </c>
      <c r="D19" s="22" t="n">
        <v>314196</v>
      </c>
      <c r="E19" s="22" t="n">
        <v>314196</v>
      </c>
      <c r="F19" s="22" t="n">
        <v>0</v>
      </c>
      <c r="G19" s="23" t="n">
        <v>0</v>
      </c>
    </row>
    <row r="20">
      <c r="A20" s="13" t="inlineStr">
        <is>
          <t>S0</t>
        </is>
      </c>
      <c r="B20" s="13" t="inlineStr">
        <is>
          <t>Baseline (current parameters)</t>
        </is>
      </c>
      <c r="C20" s="13" t="inlineStr">
        <is>
          <t>Lead time used (days)</t>
        </is>
      </c>
      <c r="D20" s="40" t="n">
        <v>32</v>
      </c>
      <c r="E20" s="40" t="n">
        <v>32</v>
      </c>
      <c r="F20" s="40" t="n">
        <v>0</v>
      </c>
      <c r="G20" s="23" t="n">
        <v>0</v>
      </c>
    </row>
    <row r="21">
      <c r="A21" s="13" t="inlineStr">
        <is>
          <t>S0</t>
        </is>
      </c>
      <c r="B21" s="13" t="inlineStr">
        <is>
          <t>Baseline (current parameters)</t>
        </is>
      </c>
      <c r="C21" s="13" t="inlineStr">
        <is>
          <t>Safety stock incl. variability (days)</t>
        </is>
      </c>
      <c r="D21" s="40" t="n">
        <v>18.2</v>
      </c>
      <c r="E21" s="40" t="n">
        <v>18.2</v>
      </c>
      <c r="F21" s="40" t="n">
        <v>0</v>
      </c>
      <c r="G21" s="23" t="n">
        <v>0</v>
      </c>
    </row>
    <row r="22">
      <c r="A22" s="13" t="inlineStr">
        <is>
          <t>S0</t>
        </is>
      </c>
      <c r="B22" s="13" t="inlineStr">
        <is>
          <t>Baseline (current parameters)</t>
        </is>
      </c>
      <c r="C22" s="13" t="inlineStr">
        <is>
          <t>Demand factor</t>
        </is>
      </c>
      <c r="D22" s="41" t="n">
        <v>1.05</v>
      </c>
      <c r="E22" s="41" t="n">
        <v>1.05</v>
      </c>
      <c r="F22" s="41" t="n">
        <v>0</v>
      </c>
      <c r="G22" s="23" t="n">
        <v>0</v>
      </c>
    </row>
    <row r="23">
      <c r="A23" s="13" t="inlineStr">
        <is>
          <t>S0</t>
        </is>
      </c>
      <c r="B23" s="13" t="inlineStr">
        <is>
          <t>Baseline (current parameters)</t>
        </is>
      </c>
      <c r="C23" s="13" t="inlineStr">
        <is>
          <t>Price factor</t>
        </is>
      </c>
      <c r="D23" s="41" t="n">
        <v>1.09</v>
      </c>
      <c r="E23" s="41" t="n">
        <v>1.09</v>
      </c>
      <c r="F23" s="41" t="n">
        <v>0</v>
      </c>
      <c r="G23" s="23" t="n">
        <v>0</v>
      </c>
    </row>
    <row r="24">
      <c r="A24" s="13" t="inlineStr">
        <is>
          <t>S1</t>
        </is>
      </c>
      <c r="B24" s="13" t="inlineStr">
        <is>
          <t>Demand surge +20%</t>
        </is>
      </c>
      <c r="C24" s="13" t="inlineStr">
        <is>
          <t>Consumption value (PKR)</t>
        </is>
      </c>
      <c r="D24" s="22" t="n">
        <v>154591629.36</v>
      </c>
      <c r="E24" s="22" t="n">
        <v>176676147.84</v>
      </c>
      <c r="F24" s="22" t="n">
        <v>22084518.47999999</v>
      </c>
      <c r="G24" s="23" t="n">
        <v>0.1428571428571428</v>
      </c>
    </row>
    <row r="25">
      <c r="A25" s="13" t="inlineStr">
        <is>
          <t>S1</t>
        </is>
      </c>
      <c r="B25" s="13" t="inlineStr">
        <is>
          <t>Demand surge +20%</t>
        </is>
      </c>
      <c r="C25" s="13" t="inlineStr">
        <is>
          <t>Purchase requirement (PKR)</t>
        </is>
      </c>
      <c r="D25" s="22" t="n">
        <v>157178997.71</v>
      </c>
      <c r="E25" s="22" t="n">
        <v>186141482.32</v>
      </c>
      <c r="F25" s="22" t="n">
        <v>28962484.60999998</v>
      </c>
      <c r="G25" s="23" t="n">
        <v>0.1842643421319981</v>
      </c>
    </row>
    <row r="26">
      <c r="A26" s="13" t="inlineStr">
        <is>
          <t>S1</t>
        </is>
      </c>
      <c r="B26" s="13" t="inlineStr">
        <is>
          <t>Demand surge +20%</t>
        </is>
      </c>
      <c r="C26" s="13" t="inlineStr">
        <is>
          <t>Top-up purchase (PKR)</t>
        </is>
      </c>
      <c r="D26" s="22" t="n">
        <v>268493.91</v>
      </c>
      <c r="E26" s="22" t="n">
        <v>6815192.27</v>
      </c>
      <c r="F26" s="22" t="n">
        <v>6546698.359999999</v>
      </c>
      <c r="G26" s="23" t="n">
        <v>24.3830422820391</v>
      </c>
    </row>
    <row r="27">
      <c r="A27" s="13" t="inlineStr">
        <is>
          <t>S1</t>
        </is>
      </c>
      <c r="B27" s="13" t="inlineStr">
        <is>
          <t>Demand surge +20%</t>
        </is>
      </c>
      <c r="C27" s="13" t="inlineStr">
        <is>
          <t>Stock released instead of buying (PKR)</t>
        </is>
      </c>
      <c r="D27" s="22" t="n">
        <v>0</v>
      </c>
      <c r="E27" s="22" t="n">
        <v>0</v>
      </c>
      <c r="F27" s="22" t="n">
        <v>0</v>
      </c>
      <c r="G27" s="13" t="n"/>
    </row>
    <row r="28">
      <c r="A28" s="13" t="inlineStr">
        <is>
          <t>S1</t>
        </is>
      </c>
      <c r="B28" s="13" t="inlineStr">
        <is>
          <t>Demand surge +20%</t>
        </is>
      </c>
      <c r="C28" s="13" t="inlineStr">
        <is>
          <t>Budget available (PKR)</t>
        </is>
      </c>
      <c r="D28" s="22" t="n">
        <v>152105333.33</v>
      </c>
      <c r="E28" s="22" t="n">
        <v>152105333.33</v>
      </c>
      <c r="F28" s="22" t="n">
        <v>0</v>
      </c>
      <c r="G28" s="23" t="n">
        <v>0</v>
      </c>
    </row>
    <row r="29">
      <c r="A29" s="13" t="inlineStr">
        <is>
          <t>S1</t>
        </is>
      </c>
      <c r="B29" s="13" t="inlineStr">
        <is>
          <t>Demand surge +20%</t>
        </is>
      </c>
      <c r="C29" s="13" t="inlineStr">
        <is>
          <t>Funding gap (PKR)</t>
        </is>
      </c>
      <c r="D29" s="22" t="n">
        <v>2486296.03</v>
      </c>
      <c r="E29" s="22" t="n">
        <v>24570814.51</v>
      </c>
      <c r="F29" s="22" t="n">
        <v>22084518.48</v>
      </c>
      <c r="G29" s="23" t="n">
        <v>8.882497584167401</v>
      </c>
    </row>
    <row r="30">
      <c r="A30" s="13" t="inlineStr">
        <is>
          <t>S1</t>
        </is>
      </c>
      <c r="B30" s="13" t="inlineStr">
        <is>
          <t>Demand surge +20%</t>
        </is>
      </c>
      <c r="C30" s="13" t="inlineStr">
        <is>
          <t>Budget utilisation</t>
        </is>
      </c>
      <c r="D30" s="23" t="n">
        <v>1.016</v>
      </c>
      <c r="E30" s="23" t="n">
        <v>1.162</v>
      </c>
      <c r="F30" s="23" t="n">
        <v>0.1459999999999999</v>
      </c>
      <c r="G30" s="23" t="n">
        <v>0.1437007874015747</v>
      </c>
    </row>
    <row r="31">
      <c r="A31" s="13" t="inlineStr">
        <is>
          <t>S1</t>
        </is>
      </c>
      <c r="B31" s="13" t="inlineStr">
        <is>
          <t>Demand surge +20%</t>
        </is>
      </c>
      <c r="C31" s="13" t="inlineStr">
        <is>
          <t>Consumption-to-purchase ratio</t>
        </is>
      </c>
      <c r="D31" s="39" t="n">
        <v>0.984</v>
      </c>
      <c r="E31" s="39" t="n">
        <v>0.949</v>
      </c>
      <c r="F31" s="39" t="n">
        <v>-0.03500000000000003</v>
      </c>
      <c r="G31" s="23" t="n">
        <v>-0.03556910569105694</v>
      </c>
    </row>
    <row r="32">
      <c r="A32" s="13" t="inlineStr">
        <is>
          <t>S1</t>
        </is>
      </c>
      <c r="B32" s="13" t="inlineStr">
        <is>
          <t>Demand surge +20%</t>
        </is>
      </c>
      <c r="C32" s="13" t="inlineStr">
        <is>
          <t>Expiry risk value (PKR)</t>
        </is>
      </c>
      <c r="D32" s="22" t="n">
        <v>3944941.69</v>
      </c>
      <c r="E32" s="22" t="n">
        <v>4249735.75</v>
      </c>
      <c r="F32" s="22" t="n">
        <v>304794.0600000001</v>
      </c>
      <c r="G32" s="23" t="n">
        <v>0.0772619937000894</v>
      </c>
    </row>
    <row r="33">
      <c r="A33" s="13" t="inlineStr">
        <is>
          <t>S1</t>
        </is>
      </c>
      <c r="B33" s="13" t="inlineStr">
        <is>
          <t>Demand surge +20%</t>
        </is>
      </c>
      <c r="C33" s="13" t="inlineStr">
        <is>
          <t>Overstock value (PKR)</t>
        </is>
      </c>
      <c r="D33" s="22" t="n">
        <v>114217.46</v>
      </c>
      <c r="E33" s="22" t="n">
        <v>38578.29</v>
      </c>
      <c r="F33" s="22" t="n">
        <v>-75639.17000000001</v>
      </c>
      <c r="G33" s="23" t="n">
        <v>-0.6622382427345171</v>
      </c>
    </row>
    <row r="34">
      <c r="A34" s="13" t="inlineStr">
        <is>
          <t>S1</t>
        </is>
      </c>
      <c r="B34" s="13" t="inlineStr">
        <is>
          <t>Demand surge +20%</t>
        </is>
      </c>
      <c r="C34" s="13" t="inlineStr">
        <is>
          <t>Stock-out risk items</t>
        </is>
      </c>
      <c r="D34" s="22" t="n">
        <v>2</v>
      </c>
      <c r="E34" s="22" t="n">
        <v>3</v>
      </c>
      <c r="F34" s="22" t="n">
        <v>1</v>
      </c>
      <c r="G34" s="23" t="n">
        <v>0.5</v>
      </c>
    </row>
    <row r="35">
      <c r="A35" s="13" t="inlineStr">
        <is>
          <t>S1</t>
        </is>
      </c>
      <c r="B35" s="13" t="inlineStr">
        <is>
          <t>Demand surge +20%</t>
        </is>
      </c>
      <c r="C35" s="13" t="inlineStr">
        <is>
          <t>Working capital in stock (PKR)</t>
        </is>
      </c>
      <c r="D35" s="22" t="n">
        <v>45826888.48</v>
      </c>
      <c r="E35" s="22" t="n">
        <v>52373586.84</v>
      </c>
      <c r="F35" s="22" t="n">
        <v>6546698.360000007</v>
      </c>
      <c r="G35" s="23" t="n">
        <v>0.1428571429818359</v>
      </c>
    </row>
    <row r="36">
      <c r="A36" s="13" t="inlineStr">
        <is>
          <t>S1</t>
        </is>
      </c>
      <c r="B36" s="13" t="inlineStr">
        <is>
          <t>Demand surge +20%</t>
        </is>
      </c>
      <c r="C36" s="13" t="inlineStr">
        <is>
          <t>Cost per beneficiary (PKR)</t>
        </is>
      </c>
      <c r="D36" s="22" t="n">
        <v>492.02</v>
      </c>
      <c r="E36" s="22" t="n">
        <v>562.3099999999999</v>
      </c>
      <c r="F36" s="22" t="n">
        <v>70.28999999999996</v>
      </c>
      <c r="G36" s="23" t="n">
        <v>0.1428600463395796</v>
      </c>
    </row>
    <row r="37">
      <c r="A37" s="13" t="inlineStr">
        <is>
          <t>S1</t>
        </is>
      </c>
      <c r="B37" s="13" t="inlineStr">
        <is>
          <t>Demand surge +20%</t>
        </is>
      </c>
      <c r="C37" s="13" t="inlineStr">
        <is>
          <t>Beneficiaries (annual)</t>
        </is>
      </c>
      <c r="D37" s="22" t="n">
        <v>314196</v>
      </c>
      <c r="E37" s="22" t="n">
        <v>314196</v>
      </c>
      <c r="F37" s="22" t="n">
        <v>0</v>
      </c>
      <c r="G37" s="23" t="n">
        <v>0</v>
      </c>
    </row>
    <row r="38">
      <c r="A38" s="13" t="inlineStr">
        <is>
          <t>S1</t>
        </is>
      </c>
      <c r="B38" s="13" t="inlineStr">
        <is>
          <t>Demand surge +20%</t>
        </is>
      </c>
      <c r="C38" s="13" t="inlineStr">
        <is>
          <t>Lead time used (days)</t>
        </is>
      </c>
      <c r="D38" s="40" t="n">
        <v>32</v>
      </c>
      <c r="E38" s="40" t="n">
        <v>32</v>
      </c>
      <c r="F38" s="40" t="n">
        <v>0</v>
      </c>
      <c r="G38" s="23" t="n">
        <v>0</v>
      </c>
    </row>
    <row r="39">
      <c r="A39" s="13" t="inlineStr">
        <is>
          <t>S1</t>
        </is>
      </c>
      <c r="B39" s="13" t="inlineStr">
        <is>
          <t>Demand surge +20%</t>
        </is>
      </c>
      <c r="C39" s="13" t="inlineStr">
        <is>
          <t>Safety stock incl. variability (days)</t>
        </is>
      </c>
      <c r="D39" s="40" t="n">
        <v>18.2</v>
      </c>
      <c r="E39" s="40" t="n">
        <v>18.2</v>
      </c>
      <c r="F39" s="40" t="n">
        <v>0</v>
      </c>
      <c r="G39" s="23" t="n">
        <v>0</v>
      </c>
    </row>
    <row r="40">
      <c r="A40" s="13" t="inlineStr">
        <is>
          <t>S1</t>
        </is>
      </c>
      <c r="B40" s="13" t="inlineStr">
        <is>
          <t>Demand surge +20%</t>
        </is>
      </c>
      <c r="C40" s="13" t="inlineStr">
        <is>
          <t>Demand factor</t>
        </is>
      </c>
      <c r="D40" s="41" t="n">
        <v>1.05</v>
      </c>
      <c r="E40" s="41" t="n">
        <v>1.2</v>
      </c>
      <c r="F40" s="41" t="n">
        <v>0.1499999999999999</v>
      </c>
      <c r="G40" s="23" t="n">
        <v>0.1428571428571428</v>
      </c>
    </row>
    <row r="41">
      <c r="A41" s="13" t="inlineStr">
        <is>
          <t>S1</t>
        </is>
      </c>
      <c r="B41" s="13" t="inlineStr">
        <is>
          <t>Demand surge +20%</t>
        </is>
      </c>
      <c r="C41" s="13" t="inlineStr">
        <is>
          <t>Price factor</t>
        </is>
      </c>
      <c r="D41" s="41" t="n">
        <v>1.09</v>
      </c>
      <c r="E41" s="41" t="n">
        <v>1.09</v>
      </c>
      <c r="F41" s="41" t="n">
        <v>0</v>
      </c>
      <c r="G41" s="23" t="n">
        <v>0</v>
      </c>
    </row>
    <row r="42">
      <c r="A42" s="13" t="inlineStr">
        <is>
          <t>S2</t>
        </is>
      </c>
      <c r="B42" s="13" t="inlineStr">
        <is>
          <t>Price shock +15%</t>
        </is>
      </c>
      <c r="C42" s="13" t="inlineStr">
        <is>
          <t>Consumption value (PKR)</t>
        </is>
      </c>
      <c r="D42" s="22" t="n">
        <v>154591629.36</v>
      </c>
      <c r="E42" s="22" t="n">
        <v>177780373.76</v>
      </c>
      <c r="F42" s="22" t="n">
        <v>23188744.39999998</v>
      </c>
      <c r="G42" s="23" t="n">
        <v>0.1499999999741252</v>
      </c>
    </row>
    <row r="43">
      <c r="A43" s="13" t="inlineStr">
        <is>
          <t>S2</t>
        </is>
      </c>
      <c r="B43" s="13" t="inlineStr">
        <is>
          <t>Price shock +15%</t>
        </is>
      </c>
      <c r="C43" s="13" t="inlineStr">
        <is>
          <t>Purchase requirement (PKR)</t>
        </is>
      </c>
      <c r="D43" s="22" t="n">
        <v>157178997.71</v>
      </c>
      <c r="E43" s="22" t="n">
        <v>187589606.55</v>
      </c>
      <c r="F43" s="22" t="n">
        <v>30410608.84</v>
      </c>
      <c r="G43" s="23" t="n">
        <v>0.193477559235417</v>
      </c>
    </row>
    <row r="44">
      <c r="A44" s="13" t="inlineStr">
        <is>
          <t>S2</t>
        </is>
      </c>
      <c r="B44" s="13" t="inlineStr">
        <is>
          <t>Price shock +15%</t>
        </is>
      </c>
      <c r="C44" s="13" t="inlineStr">
        <is>
          <t>Top-up purchase (PKR)</t>
        </is>
      </c>
      <c r="D44" s="22" t="n">
        <v>268493.91</v>
      </c>
      <c r="E44" s="22" t="n">
        <v>7142527.19</v>
      </c>
      <c r="F44" s="22" t="n">
        <v>6874033.28</v>
      </c>
      <c r="G44" s="23" t="n">
        <v>25.60219440359002</v>
      </c>
    </row>
    <row r="45">
      <c r="A45" s="13" t="inlineStr">
        <is>
          <t>S2</t>
        </is>
      </c>
      <c r="B45" s="13" t="inlineStr">
        <is>
          <t>Price shock +15%</t>
        </is>
      </c>
      <c r="C45" s="13" t="inlineStr">
        <is>
          <t>Stock released instead of buying (PKR)</t>
        </is>
      </c>
      <c r="D45" s="22" t="n">
        <v>0</v>
      </c>
      <c r="E45" s="22" t="n">
        <v>0</v>
      </c>
      <c r="F45" s="22" t="n">
        <v>0</v>
      </c>
      <c r="G45" s="13" t="n"/>
    </row>
    <row r="46">
      <c r="A46" s="13" t="inlineStr">
        <is>
          <t>S2</t>
        </is>
      </c>
      <c r="B46" s="13" t="inlineStr">
        <is>
          <t>Price shock +15%</t>
        </is>
      </c>
      <c r="C46" s="13" t="inlineStr">
        <is>
          <t>Budget available (PKR)</t>
        </is>
      </c>
      <c r="D46" s="22" t="n">
        <v>152105333.33</v>
      </c>
      <c r="E46" s="22" t="n">
        <v>152105333.33</v>
      </c>
      <c r="F46" s="22" t="n">
        <v>0</v>
      </c>
      <c r="G46" s="23" t="n">
        <v>0</v>
      </c>
    </row>
    <row r="47">
      <c r="A47" s="13" t="inlineStr">
        <is>
          <t>S2</t>
        </is>
      </c>
      <c r="B47" s="13" t="inlineStr">
        <is>
          <t>Price shock +15%</t>
        </is>
      </c>
      <c r="C47" s="13" t="inlineStr">
        <is>
          <t>Funding gap (PKR)</t>
        </is>
      </c>
      <c r="D47" s="22" t="n">
        <v>2486296.03</v>
      </c>
      <c r="E47" s="22" t="n">
        <v>25675040.43</v>
      </c>
      <c r="F47" s="22" t="n">
        <v>23188744.4</v>
      </c>
      <c r="G47" s="23" t="n">
        <v>9.326622461766952</v>
      </c>
    </row>
    <row r="48">
      <c r="A48" s="13" t="inlineStr">
        <is>
          <t>S2</t>
        </is>
      </c>
      <c r="B48" s="13" t="inlineStr">
        <is>
          <t>Price shock +15%</t>
        </is>
      </c>
      <c r="C48" s="13" t="inlineStr">
        <is>
          <t>Budget utilisation</t>
        </is>
      </c>
      <c r="D48" s="23" t="n">
        <v>1.016</v>
      </c>
      <c r="E48" s="23" t="n">
        <v>1.169</v>
      </c>
      <c r="F48" s="23" t="n">
        <v>0.153</v>
      </c>
      <c r="G48" s="23" t="n">
        <v>0.1505905511811024</v>
      </c>
    </row>
    <row r="49">
      <c r="A49" s="13" t="inlineStr">
        <is>
          <t>S2</t>
        </is>
      </c>
      <c r="B49" s="13" t="inlineStr">
        <is>
          <t>Price shock +15%</t>
        </is>
      </c>
      <c r="C49" s="13" t="inlineStr">
        <is>
          <t>Consumption-to-purchase ratio</t>
        </is>
      </c>
      <c r="D49" s="39" t="n">
        <v>0.984</v>
      </c>
      <c r="E49" s="39" t="n">
        <v>0.948</v>
      </c>
      <c r="F49" s="39" t="n">
        <v>-0.03600000000000003</v>
      </c>
      <c r="G49" s="23" t="n">
        <v>-0.03658536585365857</v>
      </c>
    </row>
    <row r="50">
      <c r="A50" s="13" t="inlineStr">
        <is>
          <t>S2</t>
        </is>
      </c>
      <c r="B50" s="13" t="inlineStr">
        <is>
          <t>Price shock +15%</t>
        </is>
      </c>
      <c r="C50" s="13" t="inlineStr">
        <is>
          <t>Expiry risk value (PKR)</t>
        </is>
      </c>
      <c r="D50" s="22" t="n">
        <v>3944941.69</v>
      </c>
      <c r="E50" s="22" t="n">
        <v>4292772.85</v>
      </c>
      <c r="F50" s="22" t="n">
        <v>347831.1599999997</v>
      </c>
      <c r="G50" s="23" t="n">
        <v>0.08817143251615456</v>
      </c>
    </row>
    <row r="51">
      <c r="A51" s="13" t="inlineStr">
        <is>
          <t>S2</t>
        </is>
      </c>
      <c r="B51" s="13" t="inlineStr">
        <is>
          <t>Price shock +15%</t>
        </is>
      </c>
      <c r="C51" s="13" t="inlineStr">
        <is>
          <t>Overstock value (PKR)</t>
        </is>
      </c>
      <c r="D51" s="22" t="n">
        <v>114217.46</v>
      </c>
      <c r="E51" s="22" t="n">
        <v>114217.46</v>
      </c>
      <c r="F51" s="22" t="n">
        <v>0</v>
      </c>
      <c r="G51" s="23" t="n">
        <v>0</v>
      </c>
    </row>
    <row r="52">
      <c r="A52" s="13" t="inlineStr">
        <is>
          <t>S2</t>
        </is>
      </c>
      <c r="B52" s="13" t="inlineStr">
        <is>
          <t>Price shock +15%</t>
        </is>
      </c>
      <c r="C52" s="13" t="inlineStr">
        <is>
          <t>Stock-out risk items</t>
        </is>
      </c>
      <c r="D52" s="22" t="n">
        <v>2</v>
      </c>
      <c r="E52" s="22" t="n">
        <v>2</v>
      </c>
      <c r="F52" s="22" t="n">
        <v>0</v>
      </c>
      <c r="G52" s="23" t="n">
        <v>0</v>
      </c>
    </row>
    <row r="53">
      <c r="A53" s="13" t="inlineStr">
        <is>
          <t>S2</t>
        </is>
      </c>
      <c r="B53" s="13" t="inlineStr">
        <is>
          <t>Price shock +15%</t>
        </is>
      </c>
      <c r="C53" s="13" t="inlineStr">
        <is>
          <t>Working capital in stock (PKR)</t>
        </is>
      </c>
      <c r="D53" s="22" t="n">
        <v>45826888.48</v>
      </c>
      <c r="E53" s="22" t="n">
        <v>52700921.76</v>
      </c>
      <c r="F53" s="22" t="n">
        <v>6874033.280000001</v>
      </c>
      <c r="G53" s="23" t="n">
        <v>0.15000000017457</v>
      </c>
    </row>
    <row r="54">
      <c r="A54" s="13" t="inlineStr">
        <is>
          <t>S2</t>
        </is>
      </c>
      <c r="B54" s="13" t="inlineStr">
        <is>
          <t>Price shock +15%</t>
        </is>
      </c>
      <c r="C54" s="13" t="inlineStr">
        <is>
          <t>Cost per beneficiary (PKR)</t>
        </is>
      </c>
      <c r="D54" s="22" t="n">
        <v>492.02</v>
      </c>
      <c r="E54" s="22" t="n">
        <v>565.83</v>
      </c>
      <c r="F54" s="22" t="n">
        <v>73.81000000000006</v>
      </c>
      <c r="G54" s="23" t="n">
        <v>0.1500142270639406</v>
      </c>
    </row>
    <row r="55">
      <c r="A55" s="13" t="inlineStr">
        <is>
          <t>S2</t>
        </is>
      </c>
      <c r="B55" s="13" t="inlineStr">
        <is>
          <t>Price shock +15%</t>
        </is>
      </c>
      <c r="C55" s="13" t="inlineStr">
        <is>
          <t>Beneficiaries (annual)</t>
        </is>
      </c>
      <c r="D55" s="22" t="n">
        <v>314196</v>
      </c>
      <c r="E55" s="22" t="n">
        <v>314196</v>
      </c>
      <c r="F55" s="22" t="n">
        <v>0</v>
      </c>
      <c r="G55" s="23" t="n">
        <v>0</v>
      </c>
    </row>
    <row r="56">
      <c r="A56" s="13" t="inlineStr">
        <is>
          <t>S2</t>
        </is>
      </c>
      <c r="B56" s="13" t="inlineStr">
        <is>
          <t>Price shock +15%</t>
        </is>
      </c>
      <c r="C56" s="13" t="inlineStr">
        <is>
          <t>Lead time used (days)</t>
        </is>
      </c>
      <c r="D56" s="40" t="n">
        <v>32</v>
      </c>
      <c r="E56" s="40" t="n">
        <v>32</v>
      </c>
      <c r="F56" s="40" t="n">
        <v>0</v>
      </c>
      <c r="G56" s="23" t="n">
        <v>0</v>
      </c>
    </row>
    <row r="57">
      <c r="A57" s="13" t="inlineStr">
        <is>
          <t>S2</t>
        </is>
      </c>
      <c r="B57" s="13" t="inlineStr">
        <is>
          <t>Price shock +15%</t>
        </is>
      </c>
      <c r="C57" s="13" t="inlineStr">
        <is>
          <t>Safety stock incl. variability (days)</t>
        </is>
      </c>
      <c r="D57" s="40" t="n">
        <v>18.2</v>
      </c>
      <c r="E57" s="40" t="n">
        <v>18.2</v>
      </c>
      <c r="F57" s="40" t="n">
        <v>0</v>
      </c>
      <c r="G57" s="23" t="n">
        <v>0</v>
      </c>
    </row>
    <row r="58">
      <c r="A58" s="13" t="inlineStr">
        <is>
          <t>S2</t>
        </is>
      </c>
      <c r="B58" s="13" t="inlineStr">
        <is>
          <t>Price shock +15%</t>
        </is>
      </c>
      <c r="C58" s="13" t="inlineStr">
        <is>
          <t>Demand factor</t>
        </is>
      </c>
      <c r="D58" s="41" t="n">
        <v>1.05</v>
      </c>
      <c r="E58" s="41" t="n">
        <v>1.05</v>
      </c>
      <c r="F58" s="41" t="n">
        <v>0</v>
      </c>
      <c r="G58" s="23" t="n">
        <v>0</v>
      </c>
    </row>
    <row r="59">
      <c r="A59" s="13" t="inlineStr">
        <is>
          <t>S2</t>
        </is>
      </c>
      <c r="B59" s="13" t="inlineStr">
        <is>
          <t>Price shock +15%</t>
        </is>
      </c>
      <c r="C59" s="13" t="inlineStr">
        <is>
          <t>Price factor</t>
        </is>
      </c>
      <c r="D59" s="41" t="n">
        <v>1.09</v>
      </c>
      <c r="E59" s="41" t="n">
        <v>1.254</v>
      </c>
      <c r="F59" s="41" t="n">
        <v>0.1639999999999999</v>
      </c>
      <c r="G59" s="23" t="n">
        <v>0.1504587155963302</v>
      </c>
    </row>
    <row r="60">
      <c r="A60" s="13" t="inlineStr">
        <is>
          <t>S3</t>
        </is>
      </c>
      <c r="B60" s="13" t="inlineStr">
        <is>
          <t>Supply disruption (lead time x1.6, reliability 70%)</t>
        </is>
      </c>
      <c r="C60" s="13" t="inlineStr">
        <is>
          <t>Consumption value (PKR)</t>
        </is>
      </c>
      <c r="D60" s="22" t="n">
        <v>154591629.36</v>
      </c>
      <c r="E60" s="22" t="n">
        <v>154591629.36</v>
      </c>
      <c r="F60" s="22" t="n">
        <v>0</v>
      </c>
      <c r="G60" s="23" t="n">
        <v>0</v>
      </c>
    </row>
    <row r="61">
      <c r="A61" s="13" t="inlineStr">
        <is>
          <t>S3</t>
        </is>
      </c>
      <c r="B61" s="13" t="inlineStr">
        <is>
          <t>Supply disruption (lead time x1.6, reliability 70%)</t>
        </is>
      </c>
      <c r="C61" s="13" t="inlineStr">
        <is>
          <t>Purchase requirement (PKR)</t>
        </is>
      </c>
      <c r="D61" s="22" t="n">
        <v>157178997.71</v>
      </c>
      <c r="E61" s="22" t="n">
        <v>162329228.43</v>
      </c>
      <c r="F61" s="22" t="n">
        <v>5150230.719999999</v>
      </c>
      <c r="G61" s="23" t="n">
        <v>0.03276665963669224</v>
      </c>
    </row>
    <row r="62">
      <c r="A62" s="13" t="inlineStr">
        <is>
          <t>S3</t>
        </is>
      </c>
      <c r="B62" s="13" t="inlineStr">
        <is>
          <t>Supply disruption (lead time x1.6, reliability 70%)</t>
        </is>
      </c>
      <c r="C62" s="13" t="inlineStr">
        <is>
          <t>Top-up purchase (PKR)</t>
        </is>
      </c>
      <c r="D62" s="22" t="n">
        <v>268493.91</v>
      </c>
      <c r="E62" s="22" t="n">
        <v>5418724.63</v>
      </c>
      <c r="F62" s="22" t="n">
        <v>5150230.72</v>
      </c>
      <c r="G62" s="23" t="n">
        <v>19.18192751559989</v>
      </c>
    </row>
    <row r="63">
      <c r="A63" s="13" t="inlineStr">
        <is>
          <t>S3</t>
        </is>
      </c>
      <c r="B63" s="13" t="inlineStr">
        <is>
          <t>Supply disruption (lead time x1.6, reliability 70%)</t>
        </is>
      </c>
      <c r="C63" s="13" t="inlineStr">
        <is>
          <t>Stock released instead of buying (PKR)</t>
        </is>
      </c>
      <c r="D63" s="22" t="n">
        <v>0</v>
      </c>
      <c r="E63" s="22" t="n">
        <v>0</v>
      </c>
      <c r="F63" s="22" t="n">
        <v>0</v>
      </c>
      <c r="G63" s="13" t="n"/>
    </row>
    <row r="64">
      <c r="A64" s="13" t="inlineStr">
        <is>
          <t>S3</t>
        </is>
      </c>
      <c r="B64" s="13" t="inlineStr">
        <is>
          <t>Supply disruption (lead time x1.6, reliability 70%)</t>
        </is>
      </c>
      <c r="C64" s="13" t="inlineStr">
        <is>
          <t>Budget available (PKR)</t>
        </is>
      </c>
      <c r="D64" s="22" t="n">
        <v>152105333.33</v>
      </c>
      <c r="E64" s="22" t="n">
        <v>152105333.33</v>
      </c>
      <c r="F64" s="22" t="n">
        <v>0</v>
      </c>
      <c r="G64" s="23" t="n">
        <v>0</v>
      </c>
    </row>
    <row r="65">
      <c r="A65" s="13" t="inlineStr">
        <is>
          <t>S3</t>
        </is>
      </c>
      <c r="B65" s="13" t="inlineStr">
        <is>
          <t>Supply disruption (lead time x1.6, reliability 70%)</t>
        </is>
      </c>
      <c r="C65" s="13" t="inlineStr">
        <is>
          <t>Funding gap (PKR)</t>
        </is>
      </c>
      <c r="D65" s="22" t="n">
        <v>2486296.03</v>
      </c>
      <c r="E65" s="22" t="n">
        <v>2486296.03</v>
      </c>
      <c r="F65" s="22" t="n">
        <v>0</v>
      </c>
      <c r="G65" s="23" t="n">
        <v>0</v>
      </c>
    </row>
    <row r="66">
      <c r="A66" s="13" t="inlineStr">
        <is>
          <t>S3</t>
        </is>
      </c>
      <c r="B66" s="13" t="inlineStr">
        <is>
          <t>Supply disruption (lead time x1.6, reliability 70%)</t>
        </is>
      </c>
      <c r="C66" s="13" t="inlineStr">
        <is>
          <t>Budget utilisation</t>
        </is>
      </c>
      <c r="D66" s="23" t="n">
        <v>1.016</v>
      </c>
      <c r="E66" s="23" t="n">
        <v>1.016</v>
      </c>
      <c r="F66" s="23" t="n">
        <v>0</v>
      </c>
      <c r="G66" s="23" t="n">
        <v>0</v>
      </c>
    </row>
    <row r="67">
      <c r="A67" s="13" t="inlineStr">
        <is>
          <t>S3</t>
        </is>
      </c>
      <c r="B67" s="13" t="inlineStr">
        <is>
          <t>Supply disruption (lead time x1.6, reliability 70%)</t>
        </is>
      </c>
      <c r="C67" s="13" t="inlineStr">
        <is>
          <t>Consumption-to-purchase ratio</t>
        </is>
      </c>
      <c r="D67" s="39" t="n">
        <v>0.984</v>
      </c>
      <c r="E67" s="39" t="n">
        <v>0.952</v>
      </c>
      <c r="F67" s="39" t="n">
        <v>-0.03200000000000003</v>
      </c>
      <c r="G67" s="23" t="n">
        <v>-0.03252032520325206</v>
      </c>
    </row>
    <row r="68">
      <c r="A68" s="13" t="inlineStr">
        <is>
          <t>S3</t>
        </is>
      </c>
      <c r="B68" s="13" t="inlineStr">
        <is>
          <t>Supply disruption (lead time x1.6, reliability 70%)</t>
        </is>
      </c>
      <c r="C68" s="13" t="inlineStr">
        <is>
          <t>Expiry risk value (PKR)</t>
        </is>
      </c>
      <c r="D68" s="22" t="n">
        <v>3944941.69</v>
      </c>
      <c r="E68" s="22" t="n">
        <v>3944941.69</v>
      </c>
      <c r="F68" s="22" t="n">
        <v>0</v>
      </c>
      <c r="G68" s="23" t="n">
        <v>0</v>
      </c>
    </row>
    <row r="69">
      <c r="A69" s="13" t="inlineStr">
        <is>
          <t>S3</t>
        </is>
      </c>
      <c r="B69" s="13" t="inlineStr">
        <is>
          <t>Supply disruption (lead time x1.6, reliability 70%)</t>
        </is>
      </c>
      <c r="C69" s="13" t="inlineStr">
        <is>
          <t>Overstock value (PKR)</t>
        </is>
      </c>
      <c r="D69" s="22" t="n">
        <v>114217.46</v>
      </c>
      <c r="E69" s="22" t="n">
        <v>114217.46</v>
      </c>
      <c r="F69" s="22" t="n">
        <v>0</v>
      </c>
      <c r="G69" s="23" t="n">
        <v>0</v>
      </c>
    </row>
    <row r="70">
      <c r="A70" s="13" t="inlineStr">
        <is>
          <t>S3</t>
        </is>
      </c>
      <c r="B70" s="13" t="inlineStr">
        <is>
          <t>Supply disruption (lead time x1.6, reliability 70%)</t>
        </is>
      </c>
      <c r="C70" s="13" t="inlineStr">
        <is>
          <t>Stock-out risk items</t>
        </is>
      </c>
      <c r="D70" s="22" t="n">
        <v>2</v>
      </c>
      <c r="E70" s="22" t="n">
        <v>18</v>
      </c>
      <c r="F70" s="22" t="n">
        <v>16</v>
      </c>
      <c r="G70" s="23" t="n">
        <v>8</v>
      </c>
    </row>
    <row r="71">
      <c r="A71" s="13" t="inlineStr">
        <is>
          <t>S3</t>
        </is>
      </c>
      <c r="B71" s="13" t="inlineStr">
        <is>
          <t>Supply disruption (lead time x1.6, reliability 70%)</t>
        </is>
      </c>
      <c r="C71" s="13" t="inlineStr">
        <is>
          <t>Working capital in stock (PKR)</t>
        </is>
      </c>
      <c r="D71" s="22" t="n">
        <v>45826888.48</v>
      </c>
      <c r="E71" s="22" t="n">
        <v>50977119.2</v>
      </c>
      <c r="F71" s="22" t="n">
        <v>5150230.720000006</v>
      </c>
      <c r="G71" s="23" t="n">
        <v>0.1123844731952006</v>
      </c>
    </row>
    <row r="72">
      <c r="A72" s="13" t="inlineStr">
        <is>
          <t>S3</t>
        </is>
      </c>
      <c r="B72" s="13" t="inlineStr">
        <is>
          <t>Supply disruption (lead time x1.6, reliability 70%)</t>
        </is>
      </c>
      <c r="C72" s="13" t="inlineStr">
        <is>
          <t>Cost per beneficiary (PKR)</t>
        </is>
      </c>
      <c r="D72" s="22" t="n">
        <v>492.02</v>
      </c>
      <c r="E72" s="22" t="n">
        <v>492.02</v>
      </c>
      <c r="F72" s="22" t="n">
        <v>0</v>
      </c>
      <c r="G72" s="23" t="n">
        <v>0</v>
      </c>
    </row>
    <row r="73">
      <c r="A73" s="13" t="inlineStr">
        <is>
          <t>S3</t>
        </is>
      </c>
      <c r="B73" s="13" t="inlineStr">
        <is>
          <t>Supply disruption (lead time x1.6, reliability 70%)</t>
        </is>
      </c>
      <c r="C73" s="13" t="inlineStr">
        <is>
          <t>Beneficiaries (annual)</t>
        </is>
      </c>
      <c r="D73" s="22" t="n">
        <v>314196</v>
      </c>
      <c r="E73" s="22" t="n">
        <v>314196</v>
      </c>
      <c r="F73" s="22" t="n">
        <v>0</v>
      </c>
      <c r="G73" s="23" t="n">
        <v>0</v>
      </c>
    </row>
    <row r="74">
      <c r="A74" s="13" t="inlineStr">
        <is>
          <t>S3</t>
        </is>
      </c>
      <c r="B74" s="13" t="inlineStr">
        <is>
          <t>Supply disruption (lead time x1.6, reliability 70%)</t>
        </is>
      </c>
      <c r="C74" s="13" t="inlineStr">
        <is>
          <t>Lead time used (days)</t>
        </is>
      </c>
      <c r="D74" s="40" t="n">
        <v>32</v>
      </c>
      <c r="E74" s="40" t="n">
        <v>51.2</v>
      </c>
      <c r="F74" s="40" t="n">
        <v>19.2</v>
      </c>
      <c r="G74" s="23" t="n">
        <v>0.6000000000000001</v>
      </c>
    </row>
    <row r="75">
      <c r="A75" s="13" t="inlineStr">
        <is>
          <t>S3</t>
        </is>
      </c>
      <c r="B75" s="13" t="inlineStr">
        <is>
          <t>Supply disruption (lead time x1.6, reliability 70%)</t>
        </is>
      </c>
      <c r="C75" s="13" t="inlineStr">
        <is>
          <t>Safety stock incl. variability (days)</t>
        </is>
      </c>
      <c r="D75" s="40" t="n">
        <v>18.2</v>
      </c>
      <c r="E75" s="40" t="n">
        <v>30.4</v>
      </c>
      <c r="F75" s="40" t="n">
        <v>12.2</v>
      </c>
      <c r="G75" s="23" t="n">
        <v>0.6703296703296703</v>
      </c>
    </row>
    <row r="76">
      <c r="A76" s="13" t="inlineStr">
        <is>
          <t>S3</t>
        </is>
      </c>
      <c r="B76" s="13" t="inlineStr">
        <is>
          <t>Supply disruption (lead time x1.6, reliability 70%)</t>
        </is>
      </c>
      <c r="C76" s="13" t="inlineStr">
        <is>
          <t>Demand factor</t>
        </is>
      </c>
      <c r="D76" s="41" t="n">
        <v>1.05</v>
      </c>
      <c r="E76" s="41" t="n">
        <v>1.05</v>
      </c>
      <c r="F76" s="41" t="n">
        <v>0</v>
      </c>
      <c r="G76" s="23" t="n">
        <v>0</v>
      </c>
    </row>
    <row r="77">
      <c r="A77" s="13" t="inlineStr">
        <is>
          <t>S3</t>
        </is>
      </c>
      <c r="B77" s="13" t="inlineStr">
        <is>
          <t>Supply disruption (lead time x1.6, reliability 70%)</t>
        </is>
      </c>
      <c r="C77" s="13" t="inlineStr">
        <is>
          <t>Price factor</t>
        </is>
      </c>
      <c r="D77" s="41" t="n">
        <v>1.09</v>
      </c>
      <c r="E77" s="41" t="n">
        <v>1.09</v>
      </c>
      <c r="F77" s="41" t="n">
        <v>0</v>
      </c>
      <c r="G77" s="23" t="n">
        <v>0</v>
      </c>
    </row>
    <row r="78">
      <c r="A78" s="13" t="inlineStr">
        <is>
          <t>S4</t>
        </is>
      </c>
      <c r="B78" s="13" t="inlineStr">
        <is>
          <t>Funding cut -20%</t>
        </is>
      </c>
      <c r="C78" s="13" t="inlineStr">
        <is>
          <t>Consumption value (PKR)</t>
        </is>
      </c>
      <c r="D78" s="22" t="n">
        <v>154591629.36</v>
      </c>
      <c r="E78" s="22" t="n">
        <v>154591629.36</v>
      </c>
      <c r="F78" s="22" t="n">
        <v>0</v>
      </c>
      <c r="G78" s="23" t="n">
        <v>0</v>
      </c>
    </row>
    <row r="79">
      <c r="A79" s="13" t="inlineStr">
        <is>
          <t>S4</t>
        </is>
      </c>
      <c r="B79" s="13" t="inlineStr">
        <is>
          <t>Funding cut -20%</t>
        </is>
      </c>
      <c r="C79" s="13" t="inlineStr">
        <is>
          <t>Purchase requirement (PKR)</t>
        </is>
      </c>
      <c r="D79" s="22" t="n">
        <v>157178997.71</v>
      </c>
      <c r="E79" s="22" t="n">
        <v>157178997.71</v>
      </c>
      <c r="F79" s="22" t="n">
        <v>0</v>
      </c>
      <c r="G79" s="23" t="n">
        <v>0</v>
      </c>
    </row>
    <row r="80">
      <c r="A80" s="13" t="inlineStr">
        <is>
          <t>S4</t>
        </is>
      </c>
      <c r="B80" s="13" t="inlineStr">
        <is>
          <t>Funding cut -20%</t>
        </is>
      </c>
      <c r="C80" s="13" t="inlineStr">
        <is>
          <t>Top-up purchase (PKR)</t>
        </is>
      </c>
      <c r="D80" s="22" t="n">
        <v>268493.91</v>
      </c>
      <c r="E80" s="22" t="n">
        <v>268493.91</v>
      </c>
      <c r="F80" s="22" t="n">
        <v>0</v>
      </c>
      <c r="G80" s="23" t="n">
        <v>0</v>
      </c>
    </row>
    <row r="81">
      <c r="A81" s="13" t="inlineStr">
        <is>
          <t>S4</t>
        </is>
      </c>
      <c r="B81" s="13" t="inlineStr">
        <is>
          <t>Funding cut -20%</t>
        </is>
      </c>
      <c r="C81" s="13" t="inlineStr">
        <is>
          <t>Stock released instead of buying (PKR)</t>
        </is>
      </c>
      <c r="D81" s="22" t="n">
        <v>0</v>
      </c>
      <c r="E81" s="22" t="n">
        <v>0</v>
      </c>
      <c r="F81" s="22" t="n">
        <v>0</v>
      </c>
      <c r="G81" s="13" t="n"/>
    </row>
    <row r="82">
      <c r="A82" s="13" t="inlineStr">
        <is>
          <t>S4</t>
        </is>
      </c>
      <c r="B82" s="13" t="inlineStr">
        <is>
          <t>Funding cut -20%</t>
        </is>
      </c>
      <c r="C82" s="13" t="inlineStr">
        <is>
          <t>Budget available (PKR)</t>
        </is>
      </c>
      <c r="D82" s="22" t="n">
        <v>152105333.33</v>
      </c>
      <c r="E82" s="22" t="n">
        <v>121684266.66</v>
      </c>
      <c r="F82" s="22" t="n">
        <v>-30421066.67000002</v>
      </c>
      <c r="G82" s="23" t="n">
        <v>-0.2000000000262977</v>
      </c>
    </row>
    <row r="83">
      <c r="A83" s="13" t="inlineStr">
        <is>
          <t>S4</t>
        </is>
      </c>
      <c r="B83" s="13" t="inlineStr">
        <is>
          <t>Funding cut -20%</t>
        </is>
      </c>
      <c r="C83" s="13" t="inlineStr">
        <is>
          <t>Funding gap (PKR)</t>
        </is>
      </c>
      <c r="D83" s="22" t="n">
        <v>2486296.03</v>
      </c>
      <c r="E83" s="22" t="n">
        <v>32907362.69</v>
      </c>
      <c r="F83" s="22" t="n">
        <v>30421066.66</v>
      </c>
      <c r="G83" s="23" t="n">
        <v>12.23549661542113</v>
      </c>
    </row>
    <row r="84">
      <c r="A84" s="13" t="inlineStr">
        <is>
          <t>S4</t>
        </is>
      </c>
      <c r="B84" s="13" t="inlineStr">
        <is>
          <t>Funding cut -20%</t>
        </is>
      </c>
      <c r="C84" s="13" t="inlineStr">
        <is>
          <t>Budget utilisation</t>
        </is>
      </c>
      <c r="D84" s="23" t="n">
        <v>1.016</v>
      </c>
      <c r="E84" s="23" t="n">
        <v>1.27</v>
      </c>
      <c r="F84" s="23" t="n">
        <v>0.254</v>
      </c>
      <c r="G84" s="23" t="n">
        <v>0.25</v>
      </c>
    </row>
    <row r="85">
      <c r="A85" s="13" t="inlineStr">
        <is>
          <t>S4</t>
        </is>
      </c>
      <c r="B85" s="13" t="inlineStr">
        <is>
          <t>Funding cut -20%</t>
        </is>
      </c>
      <c r="C85" s="13" t="inlineStr">
        <is>
          <t>Consumption-to-purchase ratio</t>
        </is>
      </c>
      <c r="D85" s="39" t="n">
        <v>0.984</v>
      </c>
      <c r="E85" s="39" t="n">
        <v>0.984</v>
      </c>
      <c r="F85" s="39" t="n">
        <v>0</v>
      </c>
      <c r="G85" s="23" t="n">
        <v>0</v>
      </c>
    </row>
    <row r="86">
      <c r="A86" s="13" t="inlineStr">
        <is>
          <t>S4</t>
        </is>
      </c>
      <c r="B86" s="13" t="inlineStr">
        <is>
          <t>Funding cut -20%</t>
        </is>
      </c>
      <c r="C86" s="13" t="inlineStr">
        <is>
          <t>Expiry risk value (PKR)</t>
        </is>
      </c>
      <c r="D86" s="22" t="n">
        <v>3944941.69</v>
      </c>
      <c r="E86" s="22" t="n">
        <v>3944941.69</v>
      </c>
      <c r="F86" s="22" t="n">
        <v>0</v>
      </c>
      <c r="G86" s="23" t="n">
        <v>0</v>
      </c>
    </row>
    <row r="87">
      <c r="A87" s="13" t="inlineStr">
        <is>
          <t>S4</t>
        </is>
      </c>
      <c r="B87" s="13" t="inlineStr">
        <is>
          <t>Funding cut -20%</t>
        </is>
      </c>
      <c r="C87" s="13" t="inlineStr">
        <is>
          <t>Overstock value (PKR)</t>
        </is>
      </c>
      <c r="D87" s="22" t="n">
        <v>114217.46</v>
      </c>
      <c r="E87" s="22" t="n">
        <v>114217.46</v>
      </c>
      <c r="F87" s="22" t="n">
        <v>0</v>
      </c>
      <c r="G87" s="23" t="n">
        <v>0</v>
      </c>
    </row>
    <row r="88">
      <c r="A88" s="13" t="inlineStr">
        <is>
          <t>S4</t>
        </is>
      </c>
      <c r="B88" s="13" t="inlineStr">
        <is>
          <t>Funding cut -20%</t>
        </is>
      </c>
      <c r="C88" s="13" t="inlineStr">
        <is>
          <t>Stock-out risk items</t>
        </is>
      </c>
      <c r="D88" s="22" t="n">
        <v>2</v>
      </c>
      <c r="E88" s="22" t="n">
        <v>2</v>
      </c>
      <c r="F88" s="22" t="n">
        <v>0</v>
      </c>
      <c r="G88" s="23" t="n">
        <v>0</v>
      </c>
    </row>
    <row r="89">
      <c r="A89" s="13" t="inlineStr">
        <is>
          <t>S4</t>
        </is>
      </c>
      <c r="B89" s="13" t="inlineStr">
        <is>
          <t>Funding cut -20%</t>
        </is>
      </c>
      <c r="C89" s="13" t="inlineStr">
        <is>
          <t>Working capital in stock (PKR)</t>
        </is>
      </c>
      <c r="D89" s="22" t="n">
        <v>45826888.48</v>
      </c>
      <c r="E89" s="22" t="n">
        <v>45826888.48</v>
      </c>
      <c r="F89" s="22" t="n">
        <v>0</v>
      </c>
      <c r="G89" s="23" t="n">
        <v>0</v>
      </c>
    </row>
    <row r="90">
      <c r="A90" s="13" t="inlineStr">
        <is>
          <t>S4</t>
        </is>
      </c>
      <c r="B90" s="13" t="inlineStr">
        <is>
          <t>Funding cut -20%</t>
        </is>
      </c>
      <c r="C90" s="13" t="inlineStr">
        <is>
          <t>Cost per beneficiary (PKR)</t>
        </is>
      </c>
      <c r="D90" s="22" t="n">
        <v>492.02</v>
      </c>
      <c r="E90" s="22" t="n">
        <v>492.02</v>
      </c>
      <c r="F90" s="22" t="n">
        <v>0</v>
      </c>
      <c r="G90" s="23" t="n">
        <v>0</v>
      </c>
    </row>
    <row r="91">
      <c r="A91" s="13" t="inlineStr">
        <is>
          <t>S4</t>
        </is>
      </c>
      <c r="B91" s="13" t="inlineStr">
        <is>
          <t>Funding cut -20%</t>
        </is>
      </c>
      <c r="C91" s="13" t="inlineStr">
        <is>
          <t>Beneficiaries (annual)</t>
        </is>
      </c>
      <c r="D91" s="22" t="n">
        <v>314196</v>
      </c>
      <c r="E91" s="22" t="n">
        <v>314196</v>
      </c>
      <c r="F91" s="22" t="n">
        <v>0</v>
      </c>
      <c r="G91" s="23" t="n">
        <v>0</v>
      </c>
    </row>
    <row r="92">
      <c r="A92" s="13" t="inlineStr">
        <is>
          <t>S4</t>
        </is>
      </c>
      <c r="B92" s="13" t="inlineStr">
        <is>
          <t>Funding cut -20%</t>
        </is>
      </c>
      <c r="C92" s="13" t="inlineStr">
        <is>
          <t>Lead time used (days)</t>
        </is>
      </c>
      <c r="D92" s="40" t="n">
        <v>32</v>
      </c>
      <c r="E92" s="40" t="n">
        <v>32</v>
      </c>
      <c r="F92" s="40" t="n">
        <v>0</v>
      </c>
      <c r="G92" s="23" t="n">
        <v>0</v>
      </c>
    </row>
    <row r="93">
      <c r="A93" s="13" t="inlineStr">
        <is>
          <t>S4</t>
        </is>
      </c>
      <c r="B93" s="13" t="inlineStr">
        <is>
          <t>Funding cut -20%</t>
        </is>
      </c>
      <c r="C93" s="13" t="inlineStr">
        <is>
          <t>Safety stock incl. variability (days)</t>
        </is>
      </c>
      <c r="D93" s="40" t="n">
        <v>18.2</v>
      </c>
      <c r="E93" s="40" t="n">
        <v>18.2</v>
      </c>
      <c r="F93" s="40" t="n">
        <v>0</v>
      </c>
      <c r="G93" s="23" t="n">
        <v>0</v>
      </c>
    </row>
    <row r="94">
      <c r="A94" s="13" t="inlineStr">
        <is>
          <t>S4</t>
        </is>
      </c>
      <c r="B94" s="13" t="inlineStr">
        <is>
          <t>Funding cut -20%</t>
        </is>
      </c>
      <c r="C94" s="13" t="inlineStr">
        <is>
          <t>Demand factor</t>
        </is>
      </c>
      <c r="D94" s="41" t="n">
        <v>1.05</v>
      </c>
      <c r="E94" s="41" t="n">
        <v>1.05</v>
      </c>
      <c r="F94" s="41" t="n">
        <v>0</v>
      </c>
      <c r="G94" s="23" t="n">
        <v>0</v>
      </c>
    </row>
    <row r="95">
      <c r="A95" s="13" t="inlineStr">
        <is>
          <t>S4</t>
        </is>
      </c>
      <c r="B95" s="13" t="inlineStr">
        <is>
          <t>Funding cut -20%</t>
        </is>
      </c>
      <c r="C95" s="13" t="inlineStr">
        <is>
          <t>Price factor</t>
        </is>
      </c>
      <c r="D95" s="41" t="n">
        <v>1.09</v>
      </c>
      <c r="E95" s="41" t="n">
        <v>1.09</v>
      </c>
      <c r="F95" s="41" t="n">
        <v>0</v>
      </c>
      <c r="G95" s="23" t="n">
        <v>0</v>
      </c>
    </row>
    <row r="96">
      <c r="A96" s="13" t="inlineStr">
        <is>
          <t>S5</t>
        </is>
      </c>
      <c r="B96" s="13" t="inlineStr">
        <is>
          <t>Optimised policy (cover 60, safety 10, redistribute 60%)</t>
        </is>
      </c>
      <c r="C96" s="13" t="inlineStr">
        <is>
          <t>Consumption value (PKR)</t>
        </is>
      </c>
      <c r="D96" s="22" t="n">
        <v>154591629.36</v>
      </c>
      <c r="E96" s="22" t="n">
        <v>154591629.36</v>
      </c>
      <c r="F96" s="22" t="n">
        <v>0</v>
      </c>
      <c r="G96" s="23" t="n">
        <v>0</v>
      </c>
    </row>
    <row r="97">
      <c r="A97" s="13" t="inlineStr">
        <is>
          <t>S5</t>
        </is>
      </c>
      <c r="B97" s="13" t="inlineStr">
        <is>
          <t>Optimised policy (cover 60, safety 10, redistribute 60%)</t>
        </is>
      </c>
      <c r="C97" s="13" t="inlineStr">
        <is>
          <t>Purchase requirement (PKR)</t>
        </is>
      </c>
      <c r="D97" s="22" t="n">
        <v>157178997.71</v>
      </c>
      <c r="E97" s="22" t="n">
        <v>143810678.94</v>
      </c>
      <c r="F97" s="22" t="n">
        <v>-13368318.77000001</v>
      </c>
      <c r="G97" s="23" t="n">
        <v>-0.08505155882635772</v>
      </c>
    </row>
    <row r="98">
      <c r="A98" s="13" t="inlineStr">
        <is>
          <t>S5</t>
        </is>
      </c>
      <c r="B98" s="13" t="inlineStr">
        <is>
          <t>Optimised policy (cover 60, safety 10, redistribute 60%)</t>
        </is>
      </c>
      <c r="C98" s="13" t="inlineStr">
        <is>
          <t>Top-up purchase (PKR)</t>
        </is>
      </c>
      <c r="D98" s="22" t="n">
        <v>268493.91</v>
      </c>
      <c r="E98" s="22" t="n">
        <v>0</v>
      </c>
      <c r="F98" s="22" t="n">
        <v>-268493.91</v>
      </c>
      <c r="G98" s="23" t="n">
        <v>-1</v>
      </c>
    </row>
    <row r="99">
      <c r="A99" s="13" t="inlineStr">
        <is>
          <t>S5</t>
        </is>
      </c>
      <c r="B99" s="13" t="inlineStr">
        <is>
          <t>Optimised policy (cover 60, safety 10, redistribute 60%)</t>
        </is>
      </c>
      <c r="C99" s="13" t="inlineStr">
        <is>
          <t>Stock released instead of buying (PKR)</t>
        </is>
      </c>
      <c r="D99" s="22" t="n">
        <v>0</v>
      </c>
      <c r="E99" s="22" t="n">
        <v>13099824.86</v>
      </c>
      <c r="F99" s="22" t="n">
        <v>13099824.86</v>
      </c>
      <c r="G99" s="13" t="n"/>
    </row>
    <row r="100">
      <c r="A100" s="13" t="inlineStr">
        <is>
          <t>S5</t>
        </is>
      </c>
      <c r="B100" s="13" t="inlineStr">
        <is>
          <t>Optimised policy (cover 60, safety 10, redistribute 60%)</t>
        </is>
      </c>
      <c r="C100" s="13" t="inlineStr">
        <is>
          <t>Budget available (PKR)</t>
        </is>
      </c>
      <c r="D100" s="22" t="n">
        <v>152105333.33</v>
      </c>
      <c r="E100" s="22" t="n">
        <v>152105333.33</v>
      </c>
      <c r="F100" s="22" t="n">
        <v>0</v>
      </c>
      <c r="G100" s="23" t="n">
        <v>0</v>
      </c>
    </row>
    <row r="101">
      <c r="A101" s="13" t="inlineStr">
        <is>
          <t>S5</t>
        </is>
      </c>
      <c r="B101" s="13" t="inlineStr">
        <is>
          <t>Optimised policy (cover 60, safety 10, redistribute 60%)</t>
        </is>
      </c>
      <c r="C101" s="13" t="inlineStr">
        <is>
          <t>Funding gap (PKR)</t>
        </is>
      </c>
      <c r="D101" s="22" t="n">
        <v>2486296.03</v>
      </c>
      <c r="E101" s="22" t="n">
        <v>2486296.03</v>
      </c>
      <c r="F101" s="22" t="n">
        <v>0</v>
      </c>
      <c r="G101" s="23" t="n">
        <v>0</v>
      </c>
    </row>
    <row r="102">
      <c r="A102" s="13" t="inlineStr">
        <is>
          <t>S5</t>
        </is>
      </c>
      <c r="B102" s="13" t="inlineStr">
        <is>
          <t>Optimised policy (cover 60, safety 10, redistribute 60%)</t>
        </is>
      </c>
      <c r="C102" s="13" t="inlineStr">
        <is>
          <t>Budget utilisation</t>
        </is>
      </c>
      <c r="D102" s="23" t="n">
        <v>1.016</v>
      </c>
      <c r="E102" s="23" t="n">
        <v>1.016</v>
      </c>
      <c r="F102" s="23" t="n">
        <v>0</v>
      </c>
      <c r="G102" s="23" t="n">
        <v>0</v>
      </c>
    </row>
    <row r="103">
      <c r="A103" s="13" t="inlineStr">
        <is>
          <t>S5</t>
        </is>
      </c>
      <c r="B103" s="13" t="inlineStr">
        <is>
          <t>Optimised policy (cover 60, safety 10, redistribute 60%)</t>
        </is>
      </c>
      <c r="C103" s="13" t="inlineStr">
        <is>
          <t>Consumption-to-purchase ratio</t>
        </is>
      </c>
      <c r="D103" s="39" t="n">
        <v>0.984</v>
      </c>
      <c r="E103" s="39" t="n">
        <v>1.075</v>
      </c>
      <c r="F103" s="39" t="n">
        <v>0.09099999999999997</v>
      </c>
      <c r="G103" s="23" t="n">
        <v>0.09247967479674794</v>
      </c>
    </row>
    <row r="104">
      <c r="A104" s="13" t="inlineStr">
        <is>
          <t>S5</t>
        </is>
      </c>
      <c r="B104" s="13" t="inlineStr">
        <is>
          <t>Optimised policy (cover 60, safety 10, redistribute 60%)</t>
        </is>
      </c>
      <c r="C104" s="13" t="inlineStr">
        <is>
          <t>Expiry risk value (PKR)</t>
        </is>
      </c>
      <c r="D104" s="22" t="n">
        <v>3944941.69</v>
      </c>
      <c r="E104" s="22" t="n">
        <v>3920956.02</v>
      </c>
      <c r="F104" s="22" t="n">
        <v>-23985.66999999993</v>
      </c>
      <c r="G104" s="23" t="n">
        <v>-0.006080107612439749</v>
      </c>
    </row>
    <row r="105">
      <c r="A105" s="13" t="inlineStr">
        <is>
          <t>S5</t>
        </is>
      </c>
      <c r="B105" s="13" t="inlineStr">
        <is>
          <t>Optimised policy (cover 60, safety 10, redistribute 60%)</t>
        </is>
      </c>
      <c r="C105" s="13" t="inlineStr">
        <is>
          <t>Overstock value (PKR)</t>
        </is>
      </c>
      <c r="D105" s="22" t="n">
        <v>114217.46</v>
      </c>
      <c r="E105" s="22" t="n">
        <v>114217.46</v>
      </c>
      <c r="F105" s="22" t="n">
        <v>0</v>
      </c>
      <c r="G105" s="23" t="n">
        <v>0</v>
      </c>
    </row>
    <row r="106">
      <c r="A106" s="13" t="inlineStr">
        <is>
          <t>S5</t>
        </is>
      </c>
      <c r="B106" s="13" t="inlineStr">
        <is>
          <t>Optimised policy (cover 60, safety 10, redistribute 60%)</t>
        </is>
      </c>
      <c r="C106" s="13" t="inlineStr">
        <is>
          <t>Stock-out risk items</t>
        </is>
      </c>
      <c r="D106" s="22" t="n">
        <v>2</v>
      </c>
      <c r="E106" s="22" t="n">
        <v>2</v>
      </c>
      <c r="F106" s="22" t="n">
        <v>0</v>
      </c>
      <c r="G106" s="23" t="n">
        <v>0</v>
      </c>
    </row>
    <row r="107">
      <c r="A107" s="13" t="inlineStr">
        <is>
          <t>S5</t>
        </is>
      </c>
      <c r="B107" s="13" t="inlineStr">
        <is>
          <t>Optimised policy (cover 60, safety 10, redistribute 60%)</t>
        </is>
      </c>
      <c r="C107" s="13" t="inlineStr">
        <is>
          <t>Working capital in stock (PKR)</t>
        </is>
      </c>
      <c r="D107" s="22" t="n">
        <v>45826888.48</v>
      </c>
      <c r="E107" s="22" t="n">
        <v>31003033.61</v>
      </c>
      <c r="F107" s="22" t="n">
        <v>-14823854.87</v>
      </c>
      <c r="G107" s="23" t="n">
        <v>-0.3234750462377453</v>
      </c>
    </row>
    <row r="108">
      <c r="A108" s="13" t="inlineStr">
        <is>
          <t>S5</t>
        </is>
      </c>
      <c r="B108" s="13" t="inlineStr">
        <is>
          <t>Optimised policy (cover 60, safety 10, redistribute 60%)</t>
        </is>
      </c>
      <c r="C108" s="13" t="inlineStr">
        <is>
          <t>Cost per beneficiary (PKR)</t>
        </is>
      </c>
      <c r="D108" s="22" t="n">
        <v>492.02</v>
      </c>
      <c r="E108" s="22" t="n">
        <v>492.02</v>
      </c>
      <c r="F108" s="22" t="n">
        <v>0</v>
      </c>
      <c r="G108" s="23" t="n">
        <v>0</v>
      </c>
    </row>
    <row r="109">
      <c r="A109" s="13" t="inlineStr">
        <is>
          <t>S5</t>
        </is>
      </c>
      <c r="B109" s="13" t="inlineStr">
        <is>
          <t>Optimised policy (cover 60, safety 10, redistribute 60%)</t>
        </is>
      </c>
      <c r="C109" s="13" t="inlineStr">
        <is>
          <t>Beneficiaries (annual)</t>
        </is>
      </c>
      <c r="D109" s="22" t="n">
        <v>314196</v>
      </c>
      <c r="E109" s="22" t="n">
        <v>314196</v>
      </c>
      <c r="F109" s="22" t="n">
        <v>0</v>
      </c>
      <c r="G109" s="23" t="n">
        <v>0</v>
      </c>
    </row>
    <row r="110">
      <c r="A110" s="13" t="inlineStr">
        <is>
          <t>S5</t>
        </is>
      </c>
      <c r="B110" s="13" t="inlineStr">
        <is>
          <t>Optimised policy (cover 60, safety 10, redistribute 60%)</t>
        </is>
      </c>
      <c r="C110" s="13" t="inlineStr">
        <is>
          <t>Lead time used (days)</t>
        </is>
      </c>
      <c r="D110" s="40" t="n">
        <v>32</v>
      </c>
      <c r="E110" s="40" t="n">
        <v>32</v>
      </c>
      <c r="F110" s="40" t="n">
        <v>0</v>
      </c>
      <c r="G110" s="23" t="n">
        <v>0</v>
      </c>
    </row>
    <row r="111">
      <c r="A111" s="13" t="inlineStr">
        <is>
          <t>S5</t>
        </is>
      </c>
      <c r="B111" s="13" t="inlineStr">
        <is>
          <t>Optimised policy (cover 60, safety 10, redistribute 60%)</t>
        </is>
      </c>
      <c r="C111" s="13" t="inlineStr">
        <is>
          <t>Safety stock incl. variability (days)</t>
        </is>
      </c>
      <c r="D111" s="40" t="n">
        <v>18.2</v>
      </c>
      <c r="E111" s="40" t="n">
        <v>13.2</v>
      </c>
      <c r="F111" s="40" t="n">
        <v>-5</v>
      </c>
      <c r="G111" s="23" t="n">
        <v>-0.2747252747252747</v>
      </c>
    </row>
    <row r="112">
      <c r="A112" s="13" t="inlineStr">
        <is>
          <t>S5</t>
        </is>
      </c>
      <c r="B112" s="13" t="inlineStr">
        <is>
          <t>Optimised policy (cover 60, safety 10, redistribute 60%)</t>
        </is>
      </c>
      <c r="C112" s="13" t="inlineStr">
        <is>
          <t>Demand factor</t>
        </is>
      </c>
      <c r="D112" s="41" t="n">
        <v>1.05</v>
      </c>
      <c r="E112" s="41" t="n">
        <v>1.05</v>
      </c>
      <c r="F112" s="41" t="n">
        <v>0</v>
      </c>
      <c r="G112" s="23" t="n">
        <v>0</v>
      </c>
    </row>
    <row r="113">
      <c r="A113" s="13" t="inlineStr">
        <is>
          <t>S5</t>
        </is>
      </c>
      <c r="B113" s="13" t="inlineStr">
        <is>
          <t>Optimised policy (cover 60, safety 10, redistribute 60%)</t>
        </is>
      </c>
      <c r="C113" s="13" t="inlineStr">
        <is>
          <t>Price factor</t>
        </is>
      </c>
      <c r="D113" s="41" t="n">
        <v>1.09</v>
      </c>
      <c r="E113" s="41" t="n">
        <v>1.09</v>
      </c>
      <c r="F113" s="41" t="n">
        <v>0</v>
      </c>
      <c r="G113" s="23" t="n">
        <v>0</v>
      </c>
    </row>
    <row r="114">
      <c r="A114" s="13" t="inlineStr">
        <is>
          <t>S6</t>
        </is>
      </c>
      <c r="B114" s="13" t="inlineStr">
        <is>
          <t>Framework contracting (-8% price, lead time x0.8)</t>
        </is>
      </c>
      <c r="C114" s="13" t="inlineStr">
        <is>
          <t>Consumption value (PKR)</t>
        </is>
      </c>
      <c r="D114" s="22" t="n">
        <v>154591629.36</v>
      </c>
      <c r="E114" s="22" t="n">
        <v>142224299.01</v>
      </c>
      <c r="F114" s="22" t="n">
        <v>-12367330.35000002</v>
      </c>
      <c r="G114" s="23" t="n">
        <v>-0.08000000000776253</v>
      </c>
    </row>
    <row r="115">
      <c r="A115" s="13" t="inlineStr">
        <is>
          <t>S6</t>
        </is>
      </c>
      <c r="B115" s="13" t="inlineStr">
        <is>
          <t>Framework contracting (-8% price, lead time x0.8)</t>
        </is>
      </c>
      <c r="C115" s="13" t="inlineStr">
        <is>
          <t>Purchase requirement (PKR)</t>
        </is>
      </c>
      <c r="D115" s="22" t="n">
        <v>157178997.71</v>
      </c>
      <c r="E115" s="22" t="n">
        <v>141041026.74</v>
      </c>
      <c r="F115" s="22" t="n">
        <v>-16137970.97</v>
      </c>
      <c r="G115" s="23" t="n">
        <v>-0.1026725657061069</v>
      </c>
    </row>
    <row r="116">
      <c r="A116" s="13" t="inlineStr">
        <is>
          <t>S6</t>
        </is>
      </c>
      <c r="B116" s="13" t="inlineStr">
        <is>
          <t>Framework contracting (-8% price, lead time x0.8)</t>
        </is>
      </c>
      <c r="C116" s="13" t="inlineStr">
        <is>
          <t>Top-up purchase (PKR)</t>
        </is>
      </c>
      <c r="D116" s="22" t="n">
        <v>268493.91</v>
      </c>
      <c r="E116" s="22" t="n">
        <v>0</v>
      </c>
      <c r="F116" s="22" t="n">
        <v>-268493.91</v>
      </c>
      <c r="G116" s="23" t="n">
        <v>-1</v>
      </c>
    </row>
    <row r="117">
      <c r="A117" s="13" t="inlineStr">
        <is>
          <t>S6</t>
        </is>
      </c>
      <c r="B117" s="13" t="inlineStr">
        <is>
          <t>Framework contracting (-8% price, lead time x0.8)</t>
        </is>
      </c>
      <c r="C117" s="13" t="inlineStr">
        <is>
          <t>Stock released instead of buying (PKR)</t>
        </is>
      </c>
      <c r="D117" s="22" t="n">
        <v>0</v>
      </c>
      <c r="E117" s="22" t="n">
        <v>3316636.75</v>
      </c>
      <c r="F117" s="22" t="n">
        <v>3316636.75</v>
      </c>
      <c r="G117" s="13" t="n"/>
    </row>
    <row r="118">
      <c r="A118" s="13" t="inlineStr">
        <is>
          <t>S6</t>
        </is>
      </c>
      <c r="B118" s="13" t="inlineStr">
        <is>
          <t>Framework contracting (-8% price, lead time x0.8)</t>
        </is>
      </c>
      <c r="C118" s="13" t="inlineStr">
        <is>
          <t>Budget available (PKR)</t>
        </is>
      </c>
      <c r="D118" s="22" t="n">
        <v>152105333.33</v>
      </c>
      <c r="E118" s="22" t="n">
        <v>152105333.33</v>
      </c>
      <c r="F118" s="22" t="n">
        <v>0</v>
      </c>
      <c r="G118" s="23" t="n">
        <v>0</v>
      </c>
    </row>
    <row r="119">
      <c r="A119" s="13" t="inlineStr">
        <is>
          <t>S6</t>
        </is>
      </c>
      <c r="B119" s="13" t="inlineStr">
        <is>
          <t>Framework contracting (-8% price, lead time x0.8)</t>
        </is>
      </c>
      <c r="C119" s="13" t="inlineStr">
        <is>
          <t>Funding gap (PKR)</t>
        </is>
      </c>
      <c r="D119" s="22" t="n">
        <v>2486296.03</v>
      </c>
      <c r="E119" s="22" t="n">
        <v>0</v>
      </c>
      <c r="F119" s="22" t="n">
        <v>-2486296.03</v>
      </c>
      <c r="G119" s="23" t="n">
        <v>-1</v>
      </c>
    </row>
    <row r="120">
      <c r="A120" s="13" t="inlineStr">
        <is>
          <t>S6</t>
        </is>
      </c>
      <c r="B120" s="13" t="inlineStr">
        <is>
          <t>Framework contracting (-8% price, lead time x0.8)</t>
        </is>
      </c>
      <c r="C120" s="13" t="inlineStr">
        <is>
          <t>Budget utilisation</t>
        </is>
      </c>
      <c r="D120" s="23" t="n">
        <v>1.016</v>
      </c>
      <c r="E120" s="23" t="n">
        <v>0.9350000000000001</v>
      </c>
      <c r="F120" s="23" t="n">
        <v>-0.08099999999999996</v>
      </c>
      <c r="G120" s="23" t="n">
        <v>-0.07972440944881885</v>
      </c>
    </row>
    <row r="121">
      <c r="A121" s="13" t="inlineStr">
        <is>
          <t>S6</t>
        </is>
      </c>
      <c r="B121" s="13" t="inlineStr">
        <is>
          <t>Framework contracting (-8% price, lead time x0.8)</t>
        </is>
      </c>
      <c r="C121" s="13" t="inlineStr">
        <is>
          <t>Consumption-to-purchase ratio</t>
        </is>
      </c>
      <c r="D121" s="39" t="n">
        <v>0.984</v>
      </c>
      <c r="E121" s="39" t="n">
        <v>1.008</v>
      </c>
      <c r="F121" s="39" t="n">
        <v>0.02400000000000002</v>
      </c>
      <c r="G121" s="23" t="n">
        <v>0.02439024390243905</v>
      </c>
    </row>
    <row r="122">
      <c r="A122" s="13" t="inlineStr">
        <is>
          <t>S6</t>
        </is>
      </c>
      <c r="B122" s="13" t="inlineStr">
        <is>
          <t>Framework contracting (-8% price, lead time x0.8)</t>
        </is>
      </c>
      <c r="C122" s="13" t="inlineStr">
        <is>
          <t>Expiry risk value (PKR)</t>
        </is>
      </c>
      <c r="D122" s="22" t="n">
        <v>3944941.69</v>
      </c>
      <c r="E122" s="22" t="n">
        <v>3759431.73</v>
      </c>
      <c r="F122" s="22" t="n">
        <v>-185509.96</v>
      </c>
      <c r="G122" s="23" t="n">
        <v>-0.04702476603652916</v>
      </c>
    </row>
    <row r="123">
      <c r="A123" s="13" t="inlineStr">
        <is>
          <t>S6</t>
        </is>
      </c>
      <c r="B123" s="13" t="inlineStr">
        <is>
          <t>Framework contracting (-8% price, lead time x0.8)</t>
        </is>
      </c>
      <c r="C123" s="13" t="inlineStr">
        <is>
          <t>Overstock value (PKR)</t>
        </is>
      </c>
      <c r="D123" s="22" t="n">
        <v>114217.46</v>
      </c>
      <c r="E123" s="22" t="n">
        <v>114217.46</v>
      </c>
      <c r="F123" s="22" t="n">
        <v>0</v>
      </c>
      <c r="G123" s="23" t="n">
        <v>0</v>
      </c>
    </row>
    <row r="124">
      <c r="A124" s="13" t="inlineStr">
        <is>
          <t>S6</t>
        </is>
      </c>
      <c r="B124" s="13" t="inlineStr">
        <is>
          <t>Framework contracting (-8% price, lead time x0.8)</t>
        </is>
      </c>
      <c r="C124" s="13" t="inlineStr">
        <is>
          <t>Stock-out risk items</t>
        </is>
      </c>
      <c r="D124" s="22" t="n">
        <v>2</v>
      </c>
      <c r="E124" s="22" t="n">
        <v>1</v>
      </c>
      <c r="F124" s="22" t="n">
        <v>-1</v>
      </c>
      <c r="G124" s="23" t="n">
        <v>-0.5</v>
      </c>
    </row>
    <row r="125">
      <c r="A125" s="13" t="inlineStr">
        <is>
          <t>S6</t>
        </is>
      </c>
      <c r="B125" s="13" t="inlineStr">
        <is>
          <t>Framework contracting (-8% price, lead time x0.8)</t>
        </is>
      </c>
      <c r="C125" s="13" t="inlineStr">
        <is>
          <t>Working capital in stock (PKR)</t>
        </is>
      </c>
      <c r="D125" s="22" t="n">
        <v>45826888.48</v>
      </c>
      <c r="E125" s="22" t="n">
        <v>41412598.63</v>
      </c>
      <c r="F125" s="22" t="n">
        <v>-4414289.849999994</v>
      </c>
      <c r="G125" s="23" t="n">
        <v>-0.09632532332904296</v>
      </c>
    </row>
    <row r="126">
      <c r="A126" s="13" t="inlineStr">
        <is>
          <t>S6</t>
        </is>
      </c>
      <c r="B126" s="13" t="inlineStr">
        <is>
          <t>Framework contracting (-8% price, lead time x0.8)</t>
        </is>
      </c>
      <c r="C126" s="13" t="inlineStr">
        <is>
          <t>Cost per beneficiary (PKR)</t>
        </is>
      </c>
      <c r="D126" s="22" t="n">
        <v>492.02</v>
      </c>
      <c r="E126" s="22" t="n">
        <v>452.66</v>
      </c>
      <c r="F126" s="22" t="n">
        <v>-39.35999999999996</v>
      </c>
      <c r="G126" s="23" t="n">
        <v>-0.07999674809967067</v>
      </c>
    </row>
    <row r="127">
      <c r="A127" s="13" t="inlineStr">
        <is>
          <t>S6</t>
        </is>
      </c>
      <c r="B127" s="13" t="inlineStr">
        <is>
          <t>Framework contracting (-8% price, lead time x0.8)</t>
        </is>
      </c>
      <c r="C127" s="13" t="inlineStr">
        <is>
          <t>Beneficiaries (annual)</t>
        </is>
      </c>
      <c r="D127" s="22" t="n">
        <v>314196</v>
      </c>
      <c r="E127" s="22" t="n">
        <v>314196</v>
      </c>
      <c r="F127" s="22" t="n">
        <v>0</v>
      </c>
      <c r="G127" s="23" t="n">
        <v>0</v>
      </c>
    </row>
    <row r="128">
      <c r="A128" s="13" t="inlineStr">
        <is>
          <t>S6</t>
        </is>
      </c>
      <c r="B128" s="13" t="inlineStr">
        <is>
          <t>Framework contracting (-8% price, lead time x0.8)</t>
        </is>
      </c>
      <c r="C128" s="13" t="inlineStr">
        <is>
          <t>Lead time used (days)</t>
        </is>
      </c>
      <c r="D128" s="40" t="n">
        <v>32</v>
      </c>
      <c r="E128" s="40" t="n">
        <v>25.6</v>
      </c>
      <c r="F128" s="40" t="n">
        <v>-6.399999999999999</v>
      </c>
      <c r="G128" s="23" t="n">
        <v>-0.2</v>
      </c>
    </row>
    <row r="129">
      <c r="A129" s="13" t="inlineStr">
        <is>
          <t>S6</t>
        </is>
      </c>
      <c r="B129" s="13" t="inlineStr">
        <is>
          <t>Framework contracting (-8% price, lead time x0.8)</t>
        </is>
      </c>
      <c r="C129" s="13" t="inlineStr">
        <is>
          <t>Safety stock incl. variability (days)</t>
        </is>
      </c>
      <c r="D129" s="40" t="n">
        <v>18.2</v>
      </c>
      <c r="E129" s="40" t="n">
        <v>16.3</v>
      </c>
      <c r="F129" s="40" t="n">
        <v>-1.899999999999999</v>
      </c>
      <c r="G129" s="23" t="n">
        <v>-0.1043956043956043</v>
      </c>
    </row>
    <row r="130">
      <c r="A130" s="13" t="inlineStr">
        <is>
          <t>S6</t>
        </is>
      </c>
      <c r="B130" s="13" t="inlineStr">
        <is>
          <t>Framework contracting (-8% price, lead time x0.8)</t>
        </is>
      </c>
      <c r="C130" s="13" t="inlineStr">
        <is>
          <t>Demand factor</t>
        </is>
      </c>
      <c r="D130" s="41" t="n">
        <v>1.05</v>
      </c>
      <c r="E130" s="41" t="n">
        <v>1.05</v>
      </c>
      <c r="F130" s="41" t="n">
        <v>0</v>
      </c>
      <c r="G130" s="23" t="n">
        <v>0</v>
      </c>
    </row>
    <row r="131">
      <c r="A131" s="13" t="inlineStr">
        <is>
          <t>S6</t>
        </is>
      </c>
      <c r="B131" s="13" t="inlineStr">
        <is>
          <t>Framework contracting (-8% price, lead time x0.8)</t>
        </is>
      </c>
      <c r="C131" s="13" t="inlineStr">
        <is>
          <t>Price factor</t>
        </is>
      </c>
      <c r="D131" s="41" t="n">
        <v>1.09</v>
      </c>
      <c r="E131" s="41" t="n">
        <v>1.003</v>
      </c>
      <c r="F131" s="41" t="n">
        <v>-0.08700000000000019</v>
      </c>
      <c r="G131" s="23" t="n">
        <v>-0.07981651376146806</v>
      </c>
    </row>
    <row r="132">
      <c r="A132" s="13" t="inlineStr">
        <is>
          <t>S7</t>
        </is>
      </c>
      <c r="B132" s="13" t="inlineStr">
        <is>
          <t>Combined downside (demand +15%, price +10%, lead time x1.4, funding -10%)</t>
        </is>
      </c>
      <c r="C132" s="13" t="inlineStr">
        <is>
          <t>Consumption value (PKR)</t>
        </is>
      </c>
      <c r="D132" s="22" t="n">
        <v>154591629.36</v>
      </c>
      <c r="E132" s="22" t="n">
        <v>186246105.84</v>
      </c>
      <c r="F132" s="22" t="n">
        <v>31654476.47999999</v>
      </c>
      <c r="G132" s="23" t="n">
        <v>0.2047619047101554</v>
      </c>
    </row>
    <row r="133">
      <c r="A133" s="13" t="inlineStr">
        <is>
          <t>S7</t>
        </is>
      </c>
      <c r="B133" s="13" t="inlineStr">
        <is>
          <t>Combined downside (demand +15%, price +10%, lead time x1.4, funding -10%)</t>
        </is>
      </c>
      <c r="C133" s="13" t="inlineStr">
        <is>
          <t>Purchase requirement (PKR)</t>
        </is>
      </c>
      <c r="D133" s="22" t="n">
        <v>157178997.71</v>
      </c>
      <c r="E133" s="22" t="n">
        <v>202773998.75</v>
      </c>
      <c r="F133" s="22" t="n">
        <v>45595001.03999999</v>
      </c>
      <c r="G133" s="23" t="n">
        <v>0.2900832916883981</v>
      </c>
    </row>
    <row r="134">
      <c r="A134" s="13" t="inlineStr">
        <is>
          <t>S7</t>
        </is>
      </c>
      <c r="B134" s="13" t="inlineStr">
        <is>
          <t>Combined downside (demand +15%, price +10%, lead time x1.4, funding -10%)</t>
        </is>
      </c>
      <c r="C134" s="13" t="inlineStr">
        <is>
          <t>Top-up purchase (PKR)</t>
        </is>
      </c>
      <c r="D134" s="22" t="n">
        <v>268493.91</v>
      </c>
      <c r="E134" s="22" t="n">
        <v>13734201.32</v>
      </c>
      <c r="F134" s="22" t="n">
        <v>13465707.41</v>
      </c>
      <c r="G134" s="23" t="n">
        <v>50.15274800832541</v>
      </c>
    </row>
    <row r="135">
      <c r="A135" s="13" t="inlineStr">
        <is>
          <t>S7</t>
        </is>
      </c>
      <c r="B135" s="13" t="inlineStr">
        <is>
          <t>Combined downside (demand +15%, price +10%, lead time x1.4, funding -10%)</t>
        </is>
      </c>
      <c r="C135" s="13" t="inlineStr">
        <is>
          <t>Stock released instead of buying (PKR)</t>
        </is>
      </c>
      <c r="D135" s="22" t="n">
        <v>0</v>
      </c>
      <c r="E135" s="22" t="n">
        <v>0</v>
      </c>
      <c r="F135" s="22" t="n">
        <v>0</v>
      </c>
      <c r="G135" s="13" t="n"/>
    </row>
    <row r="136">
      <c r="A136" s="13" t="inlineStr">
        <is>
          <t>S7</t>
        </is>
      </c>
      <c r="B136" s="13" t="inlineStr">
        <is>
          <t>Combined downside (demand +15%, price +10%, lead time x1.4, funding -10%)</t>
        </is>
      </c>
      <c r="C136" s="13" t="inlineStr">
        <is>
          <t>Budget available (PKR)</t>
        </is>
      </c>
      <c r="D136" s="22" t="n">
        <v>152105333.33</v>
      </c>
      <c r="E136" s="22" t="n">
        <v>136894800</v>
      </c>
      <c r="F136" s="22" t="n">
        <v>-15210533.33000001</v>
      </c>
      <c r="G136" s="23" t="n">
        <v>-0.09999999998027691</v>
      </c>
    </row>
    <row r="137">
      <c r="A137" s="13" t="inlineStr">
        <is>
          <t>S7</t>
        </is>
      </c>
      <c r="B137" s="13" t="inlineStr">
        <is>
          <t>Combined downside (demand +15%, price +10%, lead time x1.4, funding -10%)</t>
        </is>
      </c>
      <c r="C137" s="13" t="inlineStr">
        <is>
          <t>Funding gap (PKR)</t>
        </is>
      </c>
      <c r="D137" s="22" t="n">
        <v>2486296.03</v>
      </c>
      <c r="E137" s="22" t="n">
        <v>49351305.85</v>
      </c>
      <c r="F137" s="22" t="n">
        <v>46865009.82</v>
      </c>
      <c r="G137" s="23" t="n">
        <v>18.84932817915492</v>
      </c>
    </row>
    <row r="138">
      <c r="A138" s="13" t="inlineStr">
        <is>
          <t>S7</t>
        </is>
      </c>
      <c r="B138" s="13" t="inlineStr">
        <is>
          <t>Combined downside (demand +15%, price +10%, lead time x1.4, funding -10%)</t>
        </is>
      </c>
      <c r="C138" s="13" t="inlineStr">
        <is>
          <t>Budget utilisation</t>
        </is>
      </c>
      <c r="D138" s="23" t="n">
        <v>1.016</v>
      </c>
      <c r="E138" s="23" t="n">
        <v>1.361</v>
      </c>
      <c r="F138" s="23" t="n">
        <v>0.345</v>
      </c>
      <c r="G138" s="23" t="n">
        <v>0.3395669291338582</v>
      </c>
    </row>
    <row r="139">
      <c r="A139" s="13" t="inlineStr">
        <is>
          <t>S7</t>
        </is>
      </c>
      <c r="B139" s="13" t="inlineStr">
        <is>
          <t>Combined downside (demand +15%, price +10%, lead time x1.4, funding -10%)</t>
        </is>
      </c>
      <c r="C139" s="13" t="inlineStr">
        <is>
          <t>Consumption-to-purchase ratio</t>
        </is>
      </c>
      <c r="D139" s="39" t="n">
        <v>0.984</v>
      </c>
      <c r="E139" s="39" t="n">
        <v>0.918</v>
      </c>
      <c r="F139" s="39" t="n">
        <v>-0.06599999999999995</v>
      </c>
      <c r="G139" s="23" t="n">
        <v>-0.06707317073170727</v>
      </c>
    </row>
    <row r="140">
      <c r="A140" s="13" t="inlineStr">
        <is>
          <t>S7</t>
        </is>
      </c>
      <c r="B140" s="13" t="inlineStr">
        <is>
          <t>Combined downside (demand +15%, price +10%, lead time x1.4, funding -10%)</t>
        </is>
      </c>
      <c r="C140" s="13" t="inlineStr">
        <is>
          <t>Expiry risk value (PKR)</t>
        </is>
      </c>
      <c r="D140" s="22" t="n">
        <v>3944941.69</v>
      </c>
      <c r="E140" s="22" t="n">
        <v>4397475.52</v>
      </c>
      <c r="F140" s="22" t="n">
        <v>452533.8299999996</v>
      </c>
      <c r="G140" s="23" t="n">
        <v>0.1147124255719987</v>
      </c>
    </row>
    <row r="141">
      <c r="A141" s="13" t="inlineStr">
        <is>
          <t>S7</t>
        </is>
      </c>
      <c r="B141" s="13" t="inlineStr">
        <is>
          <t>Combined downside (demand +15%, price +10%, lead time x1.4, funding -10%)</t>
        </is>
      </c>
      <c r="C141" s="13" t="inlineStr">
        <is>
          <t>Overstock value (PKR)</t>
        </is>
      </c>
      <c r="D141" s="22" t="n">
        <v>114217.46</v>
      </c>
      <c r="E141" s="22" t="n">
        <v>50550.86</v>
      </c>
      <c r="F141" s="22" t="n">
        <v>-63666.60000000001</v>
      </c>
      <c r="G141" s="23" t="n">
        <v>-0.557415652563102</v>
      </c>
    </row>
    <row r="142">
      <c r="A142" s="13" t="inlineStr">
        <is>
          <t>S7</t>
        </is>
      </c>
      <c r="B142" s="13" t="inlineStr">
        <is>
          <t>Combined downside (demand +15%, price +10%, lead time x1.4, funding -10%)</t>
        </is>
      </c>
      <c r="C142" s="13" t="inlineStr">
        <is>
          <t>Stock-out risk items</t>
        </is>
      </c>
      <c r="D142" s="22" t="n">
        <v>2</v>
      </c>
      <c r="E142" s="22" t="n">
        <v>14</v>
      </c>
      <c r="F142" s="22" t="n">
        <v>12</v>
      </c>
      <c r="G142" s="23" t="n">
        <v>6</v>
      </c>
    </row>
    <row r="143">
      <c r="A143" s="13" t="inlineStr">
        <is>
          <t>S7</t>
        </is>
      </c>
      <c r="B143" s="13" t="inlineStr">
        <is>
          <t>Combined downside (demand +15%, price +10%, lead time x1.4, funding -10%)</t>
        </is>
      </c>
      <c r="C143" s="13" t="inlineStr">
        <is>
          <t>Working capital in stock (PKR)</t>
        </is>
      </c>
      <c r="D143" s="22" t="n">
        <v>45826888.48</v>
      </c>
      <c r="E143" s="22" t="n">
        <v>59292595.89</v>
      </c>
      <c r="F143" s="22" t="n">
        <v>13465707.41</v>
      </c>
      <c r="G143" s="23" t="n">
        <v>0.293838570687093</v>
      </c>
    </row>
    <row r="144">
      <c r="A144" s="13" t="inlineStr">
        <is>
          <t>S7</t>
        </is>
      </c>
      <c r="B144" s="13" t="inlineStr">
        <is>
          <t>Combined downside (demand +15%, price +10%, lead time x1.4, funding -10%)</t>
        </is>
      </c>
      <c r="C144" s="13" t="inlineStr">
        <is>
          <t>Cost per beneficiary (PKR)</t>
        </is>
      </c>
      <c r="D144" s="22" t="n">
        <v>492.02</v>
      </c>
      <c r="E144" s="22" t="n">
        <v>592.77</v>
      </c>
      <c r="F144" s="22" t="n">
        <v>100.75</v>
      </c>
      <c r="G144" s="23" t="n">
        <v>0.20476809885777</v>
      </c>
    </row>
    <row r="145">
      <c r="A145" s="13" t="inlineStr">
        <is>
          <t>S7</t>
        </is>
      </c>
      <c r="B145" s="13" t="inlineStr">
        <is>
          <t>Combined downside (demand +15%, price +10%, lead time x1.4, funding -10%)</t>
        </is>
      </c>
      <c r="C145" s="13" t="inlineStr">
        <is>
          <t>Beneficiaries (annual)</t>
        </is>
      </c>
      <c r="D145" s="22" t="n">
        <v>314196</v>
      </c>
      <c r="E145" s="22" t="n">
        <v>314196</v>
      </c>
      <c r="F145" s="22" t="n">
        <v>0</v>
      </c>
      <c r="G145" s="23" t="n">
        <v>0</v>
      </c>
    </row>
    <row r="146">
      <c r="A146" s="13" t="inlineStr">
        <is>
          <t>S7</t>
        </is>
      </c>
      <c r="B146" s="13" t="inlineStr">
        <is>
          <t>Combined downside (demand +15%, price +10%, lead time x1.4, funding -10%)</t>
        </is>
      </c>
      <c r="C146" s="13" t="inlineStr">
        <is>
          <t>Lead time used (days)</t>
        </is>
      </c>
      <c r="D146" s="40" t="n">
        <v>32</v>
      </c>
      <c r="E146" s="40" t="n">
        <v>44.8</v>
      </c>
      <c r="F146" s="40" t="n">
        <v>12.8</v>
      </c>
      <c r="G146" s="23" t="n">
        <v>0.3999999999999999</v>
      </c>
    </row>
    <row r="147">
      <c r="A147" s="13" t="inlineStr">
        <is>
          <t>S7</t>
        </is>
      </c>
      <c r="B147" s="13" t="inlineStr">
        <is>
          <t>Combined downside (demand +15%, price +10%, lead time x1.4, funding -10%)</t>
        </is>
      </c>
      <c r="C147" s="13" t="inlineStr">
        <is>
          <t>Safety stock incl. variability (days)</t>
        </is>
      </c>
      <c r="D147" s="40" t="n">
        <v>18.2</v>
      </c>
      <c r="E147" s="40" t="n">
        <v>26.2</v>
      </c>
      <c r="F147" s="40" t="n">
        <v>8</v>
      </c>
      <c r="G147" s="23" t="n">
        <v>0.4395604395604396</v>
      </c>
    </row>
    <row r="148">
      <c r="A148" s="13" t="inlineStr">
        <is>
          <t>S7</t>
        </is>
      </c>
      <c r="B148" s="13" t="inlineStr">
        <is>
          <t>Combined downside (demand +15%, price +10%, lead time x1.4, funding -10%)</t>
        </is>
      </c>
      <c r="C148" s="13" t="inlineStr">
        <is>
          <t>Demand factor</t>
        </is>
      </c>
      <c r="D148" s="41" t="n">
        <v>1.05</v>
      </c>
      <c r="E148" s="41" t="n">
        <v>1.15</v>
      </c>
      <c r="F148" s="41" t="n">
        <v>0.09999999999999987</v>
      </c>
      <c r="G148" s="23" t="n">
        <v>0.09523809523809511</v>
      </c>
    </row>
    <row r="149">
      <c r="A149" s="13" t="inlineStr">
        <is>
          <t>S7</t>
        </is>
      </c>
      <c r="B149" s="13" t="inlineStr">
        <is>
          <t>Combined downside (demand +15%, price +10%, lead time x1.4, funding -10%)</t>
        </is>
      </c>
      <c r="C149" s="13" t="inlineStr">
        <is>
          <t>Price factor</t>
        </is>
      </c>
      <c r="D149" s="41" t="n">
        <v>1.09</v>
      </c>
      <c r="E149" s="41" t="n">
        <v>1.199</v>
      </c>
      <c r="F149" s="41" t="n">
        <v>0.109</v>
      </c>
      <c r="G149" s="23" t="n">
        <v>0.09999999999999998</v>
      </c>
    </row>
    <row r="150">
      <c r="A150" s="13" t="inlineStr">
        <is>
          <t>S8</t>
        </is>
      </c>
      <c r="B150" s="13" t="inlineStr">
        <is>
          <t>Optimised response to the downside (S7 + policy and framework levers)</t>
        </is>
      </c>
      <c r="C150" s="13" t="inlineStr">
        <is>
          <t>Consumption value (PKR)</t>
        </is>
      </c>
      <c r="D150" s="22" t="n">
        <v>154591629.36</v>
      </c>
      <c r="E150" s="22" t="n">
        <v>171346417.38</v>
      </c>
      <c r="F150" s="22" t="n">
        <v>16754788.01999998</v>
      </c>
      <c r="G150" s="23" t="n">
        <v>0.1083809523799173</v>
      </c>
    </row>
    <row r="151">
      <c r="A151" s="13" t="inlineStr">
        <is>
          <t>S8</t>
        </is>
      </c>
      <c r="B151" s="13" t="inlineStr">
        <is>
          <t>Optimised response to the downside (S7 + policy and framework levers)</t>
        </is>
      </c>
      <c r="C151" s="13" t="inlineStr">
        <is>
          <t>Purchase requirement (PKR)</t>
        </is>
      </c>
      <c r="D151" s="22" t="n">
        <v>157178997.71</v>
      </c>
      <c r="E151" s="22" t="n">
        <v>165921853.23</v>
      </c>
      <c r="F151" s="22" t="n">
        <v>8742855.519999981</v>
      </c>
      <c r="G151" s="23" t="n">
        <v>0.0556235607007166</v>
      </c>
    </row>
    <row r="152">
      <c r="A152" s="13" t="inlineStr">
        <is>
          <t>S8</t>
        </is>
      </c>
      <c r="B152" s="13" t="inlineStr">
        <is>
          <t>Optimised response to the downside (S7 + policy and framework levers)</t>
        </is>
      </c>
      <c r="C152" s="13" t="inlineStr">
        <is>
          <t>Top-up purchase (PKR)</t>
        </is>
      </c>
      <c r="D152" s="22" t="n">
        <v>268493.91</v>
      </c>
      <c r="E152" s="22" t="n">
        <v>0</v>
      </c>
      <c r="F152" s="22" t="n">
        <v>-268493.91</v>
      </c>
      <c r="G152" s="23" t="n">
        <v>-1</v>
      </c>
    </row>
    <row r="153">
      <c r="A153" s="13" t="inlineStr">
        <is>
          <t>S8</t>
        </is>
      </c>
      <c r="B153" s="13" t="inlineStr">
        <is>
          <t>Optimised response to the downside (S7 + policy and framework levers)</t>
        </is>
      </c>
      <c r="C153" s="13" t="inlineStr">
        <is>
          <t>Stock released instead of buying (PKR)</t>
        </is>
      </c>
      <c r="D153" s="22" t="n">
        <v>0</v>
      </c>
      <c r="E153" s="22" t="n">
        <v>7994760.41</v>
      </c>
      <c r="F153" s="22" t="n">
        <v>7994760.41</v>
      </c>
      <c r="G153" s="13" t="n"/>
    </row>
    <row r="154">
      <c r="A154" s="13" t="inlineStr">
        <is>
          <t>S8</t>
        </is>
      </c>
      <c r="B154" s="13" t="inlineStr">
        <is>
          <t>Optimised response to the downside (S7 + policy and framework levers)</t>
        </is>
      </c>
      <c r="C154" s="13" t="inlineStr">
        <is>
          <t>Budget available (PKR)</t>
        </is>
      </c>
      <c r="D154" s="22" t="n">
        <v>152105333.33</v>
      </c>
      <c r="E154" s="22" t="n">
        <v>136894800</v>
      </c>
      <c r="F154" s="22" t="n">
        <v>-15210533.33000001</v>
      </c>
      <c r="G154" s="23" t="n">
        <v>-0.09999999998027691</v>
      </c>
    </row>
    <row r="155">
      <c r="A155" s="13" t="inlineStr">
        <is>
          <t>S8</t>
        </is>
      </c>
      <c r="B155" s="13" t="inlineStr">
        <is>
          <t>Optimised response to the downside (S7 + policy and framework levers)</t>
        </is>
      </c>
      <c r="C155" s="13" t="inlineStr">
        <is>
          <t>Funding gap (PKR)</t>
        </is>
      </c>
      <c r="D155" s="22" t="n">
        <v>2486296.03</v>
      </c>
      <c r="E155" s="22" t="n">
        <v>34451617.38</v>
      </c>
      <c r="F155" s="22" t="n">
        <v>31965321.35</v>
      </c>
      <c r="G155" s="23" t="n">
        <v>12.85660314150122</v>
      </c>
    </row>
    <row r="156">
      <c r="A156" s="13" t="inlineStr">
        <is>
          <t>S8</t>
        </is>
      </c>
      <c r="B156" s="13" t="inlineStr">
        <is>
          <t>Optimised response to the downside (S7 + policy and framework levers)</t>
        </is>
      </c>
      <c r="C156" s="13" t="inlineStr">
        <is>
          <t>Budget utilisation</t>
        </is>
      </c>
      <c r="D156" s="23" t="n">
        <v>1.016</v>
      </c>
      <c r="E156" s="23" t="n">
        <v>1.252</v>
      </c>
      <c r="F156" s="23" t="n">
        <v>0.236</v>
      </c>
      <c r="G156" s="23" t="n">
        <v>0.2322834645669291</v>
      </c>
    </row>
    <row r="157">
      <c r="A157" s="13" t="inlineStr">
        <is>
          <t>S8</t>
        </is>
      </c>
      <c r="B157" s="13" t="inlineStr">
        <is>
          <t>Optimised response to the downside (S7 + policy and framework levers)</t>
        </is>
      </c>
      <c r="C157" s="13" t="inlineStr">
        <is>
          <t>Consumption-to-purchase ratio</t>
        </is>
      </c>
      <c r="D157" s="39" t="n">
        <v>0.984</v>
      </c>
      <c r="E157" s="39" t="n">
        <v>1.033</v>
      </c>
      <c r="F157" s="39" t="n">
        <v>0.04899999999999993</v>
      </c>
      <c r="G157" s="23" t="n">
        <v>0.04979674796747961</v>
      </c>
    </row>
    <row r="158">
      <c r="A158" s="13" t="inlineStr">
        <is>
          <t>S8</t>
        </is>
      </c>
      <c r="B158" s="13" t="inlineStr">
        <is>
          <t>Optimised response to the downside (S7 + policy and framework levers)</t>
        </is>
      </c>
      <c r="C158" s="13" t="inlineStr">
        <is>
          <t>Expiry risk value (PKR)</t>
        </is>
      </c>
      <c r="D158" s="22" t="n">
        <v>3944941.69</v>
      </c>
      <c r="E158" s="22" t="n">
        <v>4163364.52</v>
      </c>
      <c r="F158" s="22" t="n">
        <v>218422.8300000001</v>
      </c>
      <c r="G158" s="23" t="n">
        <v>0.05536782217939452</v>
      </c>
    </row>
    <row r="159">
      <c r="A159" s="13" t="inlineStr">
        <is>
          <t>S8</t>
        </is>
      </c>
      <c r="B159" s="13" t="inlineStr">
        <is>
          <t>Optimised response to the downside (S7 + policy and framework levers)</t>
        </is>
      </c>
      <c r="C159" s="13" t="inlineStr">
        <is>
          <t>Overstock value (PKR)</t>
        </is>
      </c>
      <c r="D159" s="22" t="n">
        <v>114217.46</v>
      </c>
      <c r="E159" s="22" t="n">
        <v>50550.86</v>
      </c>
      <c r="F159" s="22" t="n">
        <v>-63666.60000000001</v>
      </c>
      <c r="G159" s="23" t="n">
        <v>-0.557415652563102</v>
      </c>
    </row>
    <row r="160">
      <c r="A160" s="13" t="inlineStr">
        <is>
          <t>S8</t>
        </is>
      </c>
      <c r="B160" s="13" t="inlineStr">
        <is>
          <t>Optimised response to the downside (S7 + policy and framework levers)</t>
        </is>
      </c>
      <c r="C160" s="13" t="inlineStr">
        <is>
          <t>Stock-out risk items</t>
        </is>
      </c>
      <c r="D160" s="22" t="n">
        <v>2</v>
      </c>
      <c r="E160" s="22" t="n">
        <v>5</v>
      </c>
      <c r="F160" s="22" t="n">
        <v>3</v>
      </c>
      <c r="G160" s="23" t="n">
        <v>1.5</v>
      </c>
    </row>
    <row r="161">
      <c r="A161" s="13" t="inlineStr">
        <is>
          <t>S8</t>
        </is>
      </c>
      <c r="B161" s="13" t="inlineStr">
        <is>
          <t>Optimised response to the downside (S7 + policy and framework levers)</t>
        </is>
      </c>
      <c r="C161" s="13" t="inlineStr">
        <is>
          <t>Working capital in stock (PKR)</t>
        </is>
      </c>
      <c r="D161" s="22" t="n">
        <v>45826888.48</v>
      </c>
      <c r="E161" s="22" t="n">
        <v>35564944.06</v>
      </c>
      <c r="F161" s="22" t="n">
        <v>-10261944.41999999</v>
      </c>
      <c r="G161" s="23" t="n">
        <v>-0.2239284568595261</v>
      </c>
    </row>
    <row r="162">
      <c r="A162" s="13" t="inlineStr">
        <is>
          <t>S8</t>
        </is>
      </c>
      <c r="B162" s="13" t="inlineStr">
        <is>
          <t>Optimised response to the downside (S7 + policy and framework levers)</t>
        </is>
      </c>
      <c r="C162" s="13" t="inlineStr">
        <is>
          <t>Cost per beneficiary (PKR)</t>
        </is>
      </c>
      <c r="D162" s="22" t="n">
        <v>492.02</v>
      </c>
      <c r="E162" s="22" t="n">
        <v>545.35</v>
      </c>
      <c r="F162" s="22" t="n">
        <v>53.33000000000004</v>
      </c>
      <c r="G162" s="23" t="n">
        <v>0.1083899028494777</v>
      </c>
    </row>
    <row r="163">
      <c r="A163" s="13" t="inlineStr">
        <is>
          <t>S8</t>
        </is>
      </c>
      <c r="B163" s="13" t="inlineStr">
        <is>
          <t>Optimised response to the downside (S7 + policy and framework levers)</t>
        </is>
      </c>
      <c r="C163" s="13" t="inlineStr">
        <is>
          <t>Beneficiaries (annual)</t>
        </is>
      </c>
      <c r="D163" s="22" t="n">
        <v>314196</v>
      </c>
      <c r="E163" s="22" t="n">
        <v>314196</v>
      </c>
      <c r="F163" s="22" t="n">
        <v>0</v>
      </c>
      <c r="G163" s="23" t="n">
        <v>0</v>
      </c>
    </row>
    <row r="164">
      <c r="A164" s="13" t="inlineStr">
        <is>
          <t>S8</t>
        </is>
      </c>
      <c r="B164" s="13" t="inlineStr">
        <is>
          <t>Optimised response to the downside (S7 + policy and framework levers)</t>
        </is>
      </c>
      <c r="C164" s="13" t="inlineStr">
        <is>
          <t>Lead time used (days)</t>
        </is>
      </c>
      <c r="D164" s="40" t="n">
        <v>32</v>
      </c>
      <c r="E164" s="40" t="n">
        <v>38.4</v>
      </c>
      <c r="F164" s="40" t="n">
        <v>6.399999999999999</v>
      </c>
      <c r="G164" s="23" t="n">
        <v>0.2</v>
      </c>
    </row>
    <row r="165">
      <c r="A165" s="13" t="inlineStr">
        <is>
          <t>S8</t>
        </is>
      </c>
      <c r="B165" s="13" t="inlineStr">
        <is>
          <t>Optimised response to the downside (S7 + policy and framework levers)</t>
        </is>
      </c>
      <c r="C165" s="13" t="inlineStr">
        <is>
          <t>Safety stock incl. variability (days)</t>
        </is>
      </c>
      <c r="D165" s="40" t="n">
        <v>18.2</v>
      </c>
      <c r="E165" s="40" t="n">
        <v>15.8</v>
      </c>
      <c r="F165" s="40" t="n">
        <v>-2.399999999999999</v>
      </c>
      <c r="G165" s="23" t="n">
        <v>-0.1318681318681318</v>
      </c>
    </row>
    <row r="166">
      <c r="A166" s="13" t="inlineStr">
        <is>
          <t>S8</t>
        </is>
      </c>
      <c r="B166" s="13" t="inlineStr">
        <is>
          <t>Optimised response to the downside (S7 + policy and framework levers)</t>
        </is>
      </c>
      <c r="C166" s="13" t="inlineStr">
        <is>
          <t>Demand factor</t>
        </is>
      </c>
      <c r="D166" s="41" t="n">
        <v>1.05</v>
      </c>
      <c r="E166" s="41" t="n">
        <v>1.15</v>
      </c>
      <c r="F166" s="41" t="n">
        <v>0.09999999999999987</v>
      </c>
      <c r="G166" s="23" t="n">
        <v>0.09523809523809511</v>
      </c>
    </row>
    <row r="167">
      <c r="A167" s="13" t="inlineStr">
        <is>
          <t>S8</t>
        </is>
      </c>
      <c r="B167" s="13" t="inlineStr">
        <is>
          <t>Optimised response to the downside (S7 + policy and framework levers)</t>
        </is>
      </c>
      <c r="C167" s="13" t="inlineStr">
        <is>
          <t>Price factor</t>
        </is>
      </c>
      <c r="D167" s="41" t="n">
        <v>1.09</v>
      </c>
      <c r="E167" s="41" t="n">
        <v>1.103</v>
      </c>
      <c r="F167" s="41" t="n">
        <v>0.0129999999999999</v>
      </c>
      <c r="G167" s="23" t="n">
        <v>0.01192660550458706</v>
      </c>
    </row>
  </sheetData>
  <autoFilter ref="A5:G167"/>
  <mergeCells count="1">
    <mergeCell ref="A2:G2"/>
  </mergeCells>
  <pageMargins left="0.75" right="0.75" top="1" bottom="1" header="0.5" footer="0.5"/>
</worksheet>
</file>

<file path=xl/worksheets/sheet7.xml><?xml version="1.0" encoding="utf-8"?>
<worksheet xmlns="http://schemas.openxmlformats.org/spreadsheetml/2006/main">
  <sheetPr>
    <tabColor rgb="00E45756"/>
    <outlinePr summaryBelow="1" summaryRight="1"/>
    <pageSetUpPr/>
  </sheetPr>
  <dimension ref="A1:H43"/>
  <sheetViews>
    <sheetView showGridLines="0" zoomScale="90" workbookViewId="0">
      <selection activeCell="A1" sqref="A1"/>
    </sheetView>
  </sheetViews>
  <sheetFormatPr baseColWidth="8" defaultRowHeight="15"/>
  <cols>
    <col width="30" customWidth="1" min="1" max="1"/>
    <col width="14" customWidth="1" min="2" max="2"/>
    <col width="14" customWidth="1" min="3" max="3"/>
    <col width="16" customWidth="1" min="4" max="4"/>
    <col width="16" customWidth="1" min="5" max="5"/>
    <col width="16" customWidth="1" min="6" max="6"/>
    <col width="14" customWidth="1" min="7" max="7"/>
    <col width="14" customWidth="1" min="8" max="8"/>
  </cols>
  <sheetData>
    <row r="1">
      <c r="A1" s="1" t="inlineStr">
        <is>
          <t>Sensitivity analysis – one lever at a time (tornado)</t>
        </is>
      </c>
    </row>
    <row r="2">
      <c r="A2" s="2" t="inlineStr">
        <is>
          <t>Each lever is moved between its low and high value while everything else stays at baseline. Ranked by swing on each output.</t>
        </is>
      </c>
    </row>
    <row r="5">
      <c r="A5" s="42" t="inlineStr">
        <is>
          <t>Output: Purchase requirement (PKR)</t>
        </is>
      </c>
    </row>
    <row r="6" ht="32" customHeight="1">
      <c r="A6" s="10" t="inlineStr">
        <is>
          <t>Lever</t>
        </is>
      </c>
      <c r="B6" s="10" t="inlineStr">
        <is>
          <t>Low value</t>
        </is>
      </c>
      <c r="C6" s="10" t="inlineStr">
        <is>
          <t>High value</t>
        </is>
      </c>
      <c r="D6" s="10" t="inlineStr">
        <is>
          <t>Result at low</t>
        </is>
      </c>
      <c r="E6" s="10" t="inlineStr">
        <is>
          <t>Result at high</t>
        </is>
      </c>
      <c r="F6" s="10" t="inlineStr">
        <is>
          <t>Swing</t>
        </is>
      </c>
      <c r="G6" s="10" t="inlineStr">
        <is>
          <t>Base</t>
        </is>
      </c>
      <c r="H6" s="10" t="inlineStr">
        <is>
          <t>Rank</t>
        </is>
      </c>
    </row>
    <row r="7">
      <c r="A7" s="13" t="inlineStr">
        <is>
          <t>demand_growth_pct</t>
        </is>
      </c>
      <c r="B7" s="41" t="n">
        <v>0</v>
      </c>
      <c r="C7" s="41" t="n">
        <v>0.25</v>
      </c>
      <c r="D7" s="22" t="n">
        <v>147907583.95</v>
      </c>
      <c r="E7" s="22" t="n">
        <v>195795643.86</v>
      </c>
      <c r="F7" s="22" t="n">
        <v>47888059.91</v>
      </c>
      <c r="G7" s="22" t="n">
        <v>157178997.71</v>
      </c>
      <c r="H7" s="13" t="n">
        <v>1</v>
      </c>
    </row>
    <row r="8">
      <c r="A8" s="13" t="inlineStr">
        <is>
          <t>target_cover_days</t>
        </is>
      </c>
      <c r="B8" s="41" t="n">
        <v>45</v>
      </c>
      <c r="C8" s="41" t="n">
        <v>120</v>
      </c>
      <c r="D8" s="22" t="n">
        <v>141877905.35</v>
      </c>
      <c r="E8" s="22" t="n">
        <v>169885159.03</v>
      </c>
      <c r="F8" s="22" t="n">
        <v>28007253.68</v>
      </c>
      <c r="G8" s="22" t="n">
        <v>157178997.71</v>
      </c>
      <c r="H8" s="13" t="n">
        <v>2</v>
      </c>
    </row>
    <row r="9">
      <c r="A9" s="13" t="inlineStr">
        <is>
          <t>price_inflation_pct</t>
        </is>
      </c>
      <c r="B9" s="41" t="n">
        <v>0.03</v>
      </c>
      <c r="C9" s="41" t="n">
        <v>0.18</v>
      </c>
      <c r="D9" s="22" t="n">
        <v>146469958.68</v>
      </c>
      <c r="E9" s="22" t="n">
        <v>173918782.39</v>
      </c>
      <c r="F9" s="22" t="n">
        <v>27448823.71</v>
      </c>
      <c r="G9" s="22" t="n">
        <v>157178997.71</v>
      </c>
      <c r="H9" s="13" t="n">
        <v>3</v>
      </c>
    </row>
    <row r="10">
      <c r="A10" s="13" t="inlineStr">
        <is>
          <t>wastage_rate_pct</t>
        </is>
      </c>
      <c r="B10" s="41" t="n">
        <v>0.005</v>
      </c>
      <c r="C10" s="41" t="n">
        <v>0.04</v>
      </c>
      <c r="D10" s="22" t="n">
        <v>155633081.42</v>
      </c>
      <c r="E10" s="22" t="n">
        <v>161043788.44</v>
      </c>
      <c r="F10" s="22" t="n">
        <v>5410707.02</v>
      </c>
      <c r="G10" s="22" t="n">
        <v>157178997.71</v>
      </c>
      <c r="H10" s="13" t="n">
        <v>4</v>
      </c>
    </row>
    <row r="11">
      <c r="A11" s="13" t="inlineStr">
        <is>
          <t>lead_time_multiplier</t>
        </is>
      </c>
      <c r="B11" s="41" t="n">
        <v>0.8</v>
      </c>
      <c r="C11" s="41" t="n">
        <v>1.8</v>
      </c>
      <c r="D11" s="22" t="n">
        <v>156908447.11</v>
      </c>
      <c r="E11" s="22" t="n">
        <v>158263256.81</v>
      </c>
      <c r="F11" s="22" t="n">
        <v>1354809.7</v>
      </c>
      <c r="G11" s="22" t="n">
        <v>157178997.71</v>
      </c>
      <c r="H11" s="13" t="n">
        <v>5</v>
      </c>
    </row>
    <row r="12">
      <c r="A12" s="13" t="inlineStr">
        <is>
          <t>funding_cut_pct</t>
        </is>
      </c>
      <c r="B12" s="41" t="n">
        <v>0</v>
      </c>
      <c r="C12" s="41" t="n">
        <v>0.25</v>
      </c>
      <c r="D12" s="22" t="n">
        <v>157178997.71</v>
      </c>
      <c r="E12" s="22" t="n">
        <v>157178997.71</v>
      </c>
      <c r="F12" s="22" t="n">
        <v>0</v>
      </c>
      <c r="G12" s="22" t="n">
        <v>157178997.71</v>
      </c>
      <c r="H12" s="13" t="n">
        <v>6</v>
      </c>
    </row>
    <row r="13">
      <c r="A13" s="13" t="inlineStr">
        <is>
          <t>redistribution_share_pct</t>
        </is>
      </c>
      <c r="B13" s="41" t="n">
        <v>0</v>
      </c>
      <c r="C13" s="41" t="n">
        <v>0.8</v>
      </c>
      <c r="D13" s="22" t="n">
        <v>157178997.71</v>
      </c>
      <c r="E13" s="22" t="n">
        <v>157178997.71</v>
      </c>
      <c r="F13" s="22" t="n">
        <v>0</v>
      </c>
      <c r="G13" s="22" t="n">
        <v>157178997.71</v>
      </c>
      <c r="H13" s="13" t="n">
        <v>7</v>
      </c>
    </row>
    <row r="15">
      <c r="A15" s="42" t="inlineStr">
        <is>
          <t>Output: Funding gap (PKR)</t>
        </is>
      </c>
    </row>
    <row r="16" ht="32" customHeight="1">
      <c r="A16" s="10" t="inlineStr">
        <is>
          <t>Lever</t>
        </is>
      </c>
      <c r="B16" s="10" t="inlineStr">
        <is>
          <t>Low value</t>
        </is>
      </c>
      <c r="C16" s="10" t="inlineStr">
        <is>
          <t>High value</t>
        </is>
      </c>
      <c r="D16" s="10" t="inlineStr">
        <is>
          <t>Result at low</t>
        </is>
      </c>
      <c r="E16" s="10" t="inlineStr">
        <is>
          <t>Result at high</t>
        </is>
      </c>
      <c r="F16" s="10" t="inlineStr">
        <is>
          <t>Swing</t>
        </is>
      </c>
      <c r="G16" s="10" t="inlineStr">
        <is>
          <t>Base</t>
        </is>
      </c>
      <c r="H16" s="10" t="inlineStr">
        <is>
          <t>Rank</t>
        </is>
      </c>
    </row>
    <row r="17">
      <c r="A17" s="13" t="inlineStr">
        <is>
          <t>funding_cut_pct</t>
        </is>
      </c>
      <c r="B17" s="41" t="n">
        <v>0</v>
      </c>
      <c r="C17" s="41" t="n">
        <v>0.25</v>
      </c>
      <c r="D17" s="22" t="n">
        <v>2486296.03</v>
      </c>
      <c r="E17" s="22" t="n">
        <v>40512629.36</v>
      </c>
      <c r="F17" s="22" t="n">
        <v>38026333.33</v>
      </c>
      <c r="G17" s="22" t="n">
        <v>2486296.03</v>
      </c>
      <c r="H17" s="13" t="n">
        <v>1</v>
      </c>
    </row>
    <row r="18">
      <c r="A18" s="13" t="inlineStr">
        <is>
          <t>demand_growth_pct</t>
        </is>
      </c>
      <c r="B18" s="41" t="n">
        <v>0</v>
      </c>
      <c r="C18" s="41" t="n">
        <v>0.25</v>
      </c>
      <c r="D18" s="22" t="n">
        <v>0</v>
      </c>
      <c r="E18" s="22" t="n">
        <v>31932320.67</v>
      </c>
      <c r="F18" s="22" t="n">
        <v>31932320.67</v>
      </c>
      <c r="G18" s="22" t="n">
        <v>2486296.03</v>
      </c>
      <c r="H18" s="13" t="n">
        <v>2</v>
      </c>
    </row>
    <row r="19">
      <c r="A19" s="13" t="inlineStr">
        <is>
          <t>price_inflation_pct</t>
        </is>
      </c>
      <c r="B19" s="41" t="n">
        <v>0.03</v>
      </c>
      <c r="C19" s="41" t="n">
        <v>0.18</v>
      </c>
      <c r="D19" s="22" t="n">
        <v>0</v>
      </c>
      <c r="E19" s="22" t="n">
        <v>15250742.49</v>
      </c>
      <c r="F19" s="22" t="n">
        <v>15250742.49</v>
      </c>
      <c r="G19" s="22" t="n">
        <v>2486296.03</v>
      </c>
      <c r="H19" s="13" t="n">
        <v>3</v>
      </c>
    </row>
    <row r="20">
      <c r="A20" s="13" t="inlineStr">
        <is>
          <t>lead_time_multiplier</t>
        </is>
      </c>
      <c r="B20" s="41" t="n">
        <v>0.8</v>
      </c>
      <c r="C20" s="41" t="n">
        <v>1.8</v>
      </c>
      <c r="D20" s="22" t="n">
        <v>2486296.03</v>
      </c>
      <c r="E20" s="22" t="n">
        <v>2486296.03</v>
      </c>
      <c r="F20" s="22" t="n">
        <v>0</v>
      </c>
      <c r="G20" s="22" t="n">
        <v>2486296.03</v>
      </c>
      <c r="H20" s="13" t="n">
        <v>4</v>
      </c>
    </row>
    <row r="21">
      <c r="A21" s="13" t="inlineStr">
        <is>
          <t>target_cover_days</t>
        </is>
      </c>
      <c r="B21" s="41" t="n">
        <v>45</v>
      </c>
      <c r="C21" s="41" t="n">
        <v>120</v>
      </c>
      <c r="D21" s="22" t="n">
        <v>2486296.03</v>
      </c>
      <c r="E21" s="22" t="n">
        <v>2486296.03</v>
      </c>
      <c r="F21" s="22" t="n">
        <v>0</v>
      </c>
      <c r="G21" s="22" t="n">
        <v>2486296.03</v>
      </c>
      <c r="H21" s="13" t="n">
        <v>5</v>
      </c>
    </row>
    <row r="22">
      <c r="A22" s="13" t="inlineStr">
        <is>
          <t>wastage_rate_pct</t>
        </is>
      </c>
      <c r="B22" s="41" t="n">
        <v>0.005</v>
      </c>
      <c r="C22" s="41" t="n">
        <v>0.04</v>
      </c>
      <c r="D22" s="22" t="n">
        <v>2486296.03</v>
      </c>
      <c r="E22" s="22" t="n">
        <v>2486296.03</v>
      </c>
      <c r="F22" s="22" t="n">
        <v>0</v>
      </c>
      <c r="G22" s="22" t="n">
        <v>2486296.03</v>
      </c>
      <c r="H22" s="13" t="n">
        <v>6</v>
      </c>
    </row>
    <row r="23">
      <c r="A23" s="13" t="inlineStr">
        <is>
          <t>redistribution_share_pct</t>
        </is>
      </c>
      <c r="B23" s="41" t="n">
        <v>0</v>
      </c>
      <c r="C23" s="41" t="n">
        <v>0.8</v>
      </c>
      <c r="D23" s="22" t="n">
        <v>2486296.03</v>
      </c>
      <c r="E23" s="22" t="n">
        <v>2486296.03</v>
      </c>
      <c r="F23" s="22" t="n">
        <v>0</v>
      </c>
      <c r="G23" s="22" t="n">
        <v>2486296.03</v>
      </c>
      <c r="H23" s="13" t="n">
        <v>7</v>
      </c>
    </row>
    <row r="25">
      <c r="A25" s="42" t="inlineStr">
        <is>
          <t>Output: Expiry risk value (PKR)</t>
        </is>
      </c>
    </row>
    <row r="26" ht="32" customHeight="1">
      <c r="A26" s="10" t="inlineStr">
        <is>
          <t>Lever</t>
        </is>
      </c>
      <c r="B26" s="10" t="inlineStr">
        <is>
          <t>Low value</t>
        </is>
      </c>
      <c r="C26" s="10" t="inlineStr">
        <is>
          <t>High value</t>
        </is>
      </c>
      <c r="D26" s="10" t="inlineStr">
        <is>
          <t>Result at low</t>
        </is>
      </c>
      <c r="E26" s="10" t="inlineStr">
        <is>
          <t>Result at high</t>
        </is>
      </c>
      <c r="F26" s="10" t="inlineStr">
        <is>
          <t>Swing</t>
        </is>
      </c>
      <c r="G26" s="10" t="inlineStr">
        <is>
          <t>Base</t>
        </is>
      </c>
      <c r="H26" s="10" t="inlineStr">
        <is>
          <t>Rank</t>
        </is>
      </c>
    </row>
    <row r="27">
      <c r="A27" s="13" t="inlineStr">
        <is>
          <t>wastage_rate_pct</t>
        </is>
      </c>
      <c r="B27" s="41" t="n">
        <v>0.005</v>
      </c>
      <c r="C27" s="41" t="n">
        <v>0.04</v>
      </c>
      <c r="D27" s="22" t="n">
        <v>2399025.39</v>
      </c>
      <c r="E27" s="22" t="n">
        <v>7809732.42</v>
      </c>
      <c r="F27" s="22" t="n">
        <v>5410707.03</v>
      </c>
      <c r="G27" s="22" t="n">
        <v>3944941.69</v>
      </c>
      <c r="H27" s="13" t="n">
        <v>1</v>
      </c>
    </row>
    <row r="28">
      <c r="A28" s="13" t="inlineStr">
        <is>
          <t>demand_growth_pct</t>
        </is>
      </c>
      <c r="B28" s="41" t="n">
        <v>0</v>
      </c>
      <c r="C28" s="41" t="n">
        <v>0.25</v>
      </c>
      <c r="D28" s="22" t="n">
        <v>3859375.92</v>
      </c>
      <c r="E28" s="22" t="n">
        <v>4355967.95</v>
      </c>
      <c r="F28" s="22" t="n">
        <v>496592.03</v>
      </c>
      <c r="G28" s="22" t="n">
        <v>3944941.69</v>
      </c>
      <c r="H28" s="13" t="n">
        <v>2</v>
      </c>
    </row>
    <row r="29">
      <c r="A29" s="13" t="inlineStr">
        <is>
          <t>price_inflation_pct</t>
        </is>
      </c>
      <c r="B29" s="41" t="n">
        <v>0.03</v>
      </c>
      <c r="C29" s="41" t="n">
        <v>0.18</v>
      </c>
      <c r="D29" s="22" t="n">
        <v>3817297.22</v>
      </c>
      <c r="E29" s="22" t="n">
        <v>4136408.38</v>
      </c>
      <c r="F29" s="22" t="n">
        <v>319111.16</v>
      </c>
      <c r="G29" s="22" t="n">
        <v>3944941.69</v>
      </c>
      <c r="H29" s="13" t="n">
        <v>3</v>
      </c>
    </row>
    <row r="30">
      <c r="A30" s="13" t="inlineStr">
        <is>
          <t>redistribution_share_pct</t>
        </is>
      </c>
      <c r="B30" s="41" t="n">
        <v>0</v>
      </c>
      <c r="C30" s="41" t="n">
        <v>0.8</v>
      </c>
      <c r="D30" s="22" t="n">
        <v>3944941.69</v>
      </c>
      <c r="E30" s="22" t="n">
        <v>3912960.8</v>
      </c>
      <c r="F30" s="22" t="n">
        <v>31980.89</v>
      </c>
      <c r="G30" s="22" t="n">
        <v>3944941.69</v>
      </c>
      <c r="H30" s="13" t="n">
        <v>4</v>
      </c>
    </row>
    <row r="31">
      <c r="A31" s="13" t="inlineStr">
        <is>
          <t>lead_time_multiplier</t>
        </is>
      </c>
      <c r="B31" s="41" t="n">
        <v>0.8</v>
      </c>
      <c r="C31" s="41" t="n">
        <v>1.8</v>
      </c>
      <c r="D31" s="22" t="n">
        <v>3944941.69</v>
      </c>
      <c r="E31" s="22" t="n">
        <v>3944941.69</v>
      </c>
      <c r="F31" s="22" t="n">
        <v>0</v>
      </c>
      <c r="G31" s="22" t="n">
        <v>3944941.69</v>
      </c>
      <c r="H31" s="13" t="n">
        <v>5</v>
      </c>
    </row>
    <row r="32">
      <c r="A32" s="13" t="inlineStr">
        <is>
          <t>target_cover_days</t>
        </is>
      </c>
      <c r="B32" s="41" t="n">
        <v>45</v>
      </c>
      <c r="C32" s="41" t="n">
        <v>120</v>
      </c>
      <c r="D32" s="22" t="n">
        <v>3944941.69</v>
      </c>
      <c r="E32" s="22" t="n">
        <v>3944941.69</v>
      </c>
      <c r="F32" s="22" t="n">
        <v>0</v>
      </c>
      <c r="G32" s="22" t="n">
        <v>3944941.69</v>
      </c>
      <c r="H32" s="13" t="n">
        <v>6</v>
      </c>
    </row>
    <row r="33">
      <c r="A33" s="13" t="inlineStr">
        <is>
          <t>funding_cut_pct</t>
        </is>
      </c>
      <c r="B33" s="41" t="n">
        <v>0</v>
      </c>
      <c r="C33" s="41" t="n">
        <v>0.25</v>
      </c>
      <c r="D33" s="22" t="n">
        <v>3944941.69</v>
      </c>
      <c r="E33" s="22" t="n">
        <v>3944941.69</v>
      </c>
      <c r="F33" s="22" t="n">
        <v>0</v>
      </c>
      <c r="G33" s="22" t="n">
        <v>3944941.69</v>
      </c>
      <c r="H33" s="13" t="n">
        <v>7</v>
      </c>
    </row>
    <row r="35">
      <c r="A35" s="42" t="inlineStr">
        <is>
          <t>Output: Stock-out risk items</t>
        </is>
      </c>
    </row>
    <row r="36" ht="32" customHeight="1">
      <c r="A36" s="10" t="inlineStr">
        <is>
          <t>Lever</t>
        </is>
      </c>
      <c r="B36" s="10" t="inlineStr">
        <is>
          <t>Low value</t>
        </is>
      </c>
      <c r="C36" s="10" t="inlineStr">
        <is>
          <t>High value</t>
        </is>
      </c>
      <c r="D36" s="10" t="inlineStr">
        <is>
          <t>Result at low</t>
        </is>
      </c>
      <c r="E36" s="10" t="inlineStr">
        <is>
          <t>Result at high</t>
        </is>
      </c>
      <c r="F36" s="10" t="inlineStr">
        <is>
          <t>Swing</t>
        </is>
      </c>
      <c r="G36" s="10" t="inlineStr">
        <is>
          <t>Base</t>
        </is>
      </c>
      <c r="H36" s="10" t="inlineStr">
        <is>
          <t>Rank</t>
        </is>
      </c>
    </row>
    <row r="37">
      <c r="A37" s="13" t="inlineStr">
        <is>
          <t>lead_time_multiplier</t>
        </is>
      </c>
      <c r="B37" s="41" t="n">
        <v>0.8</v>
      </c>
      <c r="C37" s="41" t="n">
        <v>1.8</v>
      </c>
      <c r="D37" s="22" t="n">
        <v>1</v>
      </c>
      <c r="E37" s="22" t="n">
        <v>16</v>
      </c>
      <c r="F37" s="22" t="n">
        <v>15</v>
      </c>
      <c r="G37" s="22" t="n">
        <v>2</v>
      </c>
      <c r="H37" s="13" t="n">
        <v>1</v>
      </c>
    </row>
    <row r="38">
      <c r="A38" s="13" t="inlineStr">
        <is>
          <t>demand_growth_pct</t>
        </is>
      </c>
      <c r="B38" s="41" t="n">
        <v>0</v>
      </c>
      <c r="C38" s="41" t="n">
        <v>0.25</v>
      </c>
      <c r="D38" s="22" t="n">
        <v>2</v>
      </c>
      <c r="E38" s="22" t="n">
        <v>5</v>
      </c>
      <c r="F38" s="22" t="n">
        <v>3</v>
      </c>
      <c r="G38" s="22" t="n">
        <v>2</v>
      </c>
      <c r="H38" s="13" t="n">
        <v>2</v>
      </c>
    </row>
    <row r="39">
      <c r="A39" s="13" t="inlineStr">
        <is>
          <t>price_inflation_pct</t>
        </is>
      </c>
      <c r="B39" s="41" t="n">
        <v>0.03</v>
      </c>
      <c r="C39" s="41" t="n">
        <v>0.18</v>
      </c>
      <c r="D39" s="22" t="n">
        <v>2</v>
      </c>
      <c r="E39" s="22" t="n">
        <v>2</v>
      </c>
      <c r="F39" s="22" t="n">
        <v>0</v>
      </c>
      <c r="G39" s="22" t="n">
        <v>2</v>
      </c>
      <c r="H39" s="13" t="n">
        <v>3</v>
      </c>
    </row>
    <row r="40">
      <c r="A40" s="13" t="inlineStr">
        <is>
          <t>target_cover_days</t>
        </is>
      </c>
      <c r="B40" s="41" t="n">
        <v>45</v>
      </c>
      <c r="C40" s="41" t="n">
        <v>120</v>
      </c>
      <c r="D40" s="22" t="n">
        <v>2</v>
      </c>
      <c r="E40" s="22" t="n">
        <v>2</v>
      </c>
      <c r="F40" s="22" t="n">
        <v>0</v>
      </c>
      <c r="G40" s="22" t="n">
        <v>2</v>
      </c>
      <c r="H40" s="13" t="n">
        <v>4</v>
      </c>
    </row>
    <row r="41">
      <c r="A41" s="13" t="inlineStr">
        <is>
          <t>funding_cut_pct</t>
        </is>
      </c>
      <c r="B41" s="41" t="n">
        <v>0</v>
      </c>
      <c r="C41" s="41" t="n">
        <v>0.25</v>
      </c>
      <c r="D41" s="22" t="n">
        <v>2</v>
      </c>
      <c r="E41" s="22" t="n">
        <v>2</v>
      </c>
      <c r="F41" s="22" t="n">
        <v>0</v>
      </c>
      <c r="G41" s="22" t="n">
        <v>2</v>
      </c>
      <c r="H41" s="13" t="n">
        <v>5</v>
      </c>
    </row>
    <row r="42">
      <c r="A42" s="13" t="inlineStr">
        <is>
          <t>wastage_rate_pct</t>
        </is>
      </c>
      <c r="B42" s="41" t="n">
        <v>0.005</v>
      </c>
      <c r="C42" s="41" t="n">
        <v>0.04</v>
      </c>
      <c r="D42" s="22" t="n">
        <v>2</v>
      </c>
      <c r="E42" s="22" t="n">
        <v>2</v>
      </c>
      <c r="F42" s="22" t="n">
        <v>0</v>
      </c>
      <c r="G42" s="22" t="n">
        <v>2</v>
      </c>
      <c r="H42" s="13" t="n">
        <v>6</v>
      </c>
    </row>
    <row r="43">
      <c r="A43" s="13" t="inlineStr">
        <is>
          <t>redistribution_share_pct</t>
        </is>
      </c>
      <c r="B43" s="41" t="n">
        <v>0</v>
      </c>
      <c r="C43" s="41" t="n">
        <v>0.8</v>
      </c>
      <c r="D43" s="22" t="n">
        <v>2</v>
      </c>
      <c r="E43" s="22" t="n">
        <v>2</v>
      </c>
      <c r="F43" s="22" t="n">
        <v>0</v>
      </c>
      <c r="G43" s="22" t="n">
        <v>2</v>
      </c>
      <c r="H43" s="13" t="n">
        <v>7</v>
      </c>
    </row>
  </sheetData>
  <mergeCells count="1">
    <mergeCell ref="A2:H2"/>
  </mergeCells>
  <conditionalFormatting sqref="F7:F13">
    <cfRule type="colorScale" priority="1">
      <colorScale>
        <cfvo type="min"/>
        <cfvo type="max"/>
        <color rgb="00FFFFFF"/>
        <color rgb="00F8CBAD"/>
      </colorScale>
    </cfRule>
  </conditionalFormatting>
  <conditionalFormatting sqref="F17:F23">
    <cfRule type="colorScale" priority="2">
      <colorScale>
        <cfvo type="min"/>
        <cfvo type="max"/>
        <color rgb="00FFFFFF"/>
        <color rgb="00F8CBAD"/>
      </colorScale>
    </cfRule>
  </conditionalFormatting>
  <conditionalFormatting sqref="F27:F33">
    <cfRule type="colorScale" priority="3">
      <colorScale>
        <cfvo type="min"/>
        <cfvo type="max"/>
        <color rgb="00FFFFFF"/>
        <color rgb="00F8CBAD"/>
      </colorScale>
    </cfRule>
  </conditionalFormatting>
  <conditionalFormatting sqref="F37:F43">
    <cfRule type="colorScale" priority="4">
      <colorScale>
        <cfvo type="min"/>
        <cfvo type="max"/>
        <color rgb="00FFFFFF"/>
        <color rgb="00F8CBAD"/>
      </colorScale>
    </cfRule>
  </conditionalFormatting>
  <pageMargins left="0.75" right="0.75" top="1" bottom="1" header="0.5" footer="0.5"/>
</worksheet>
</file>

<file path=xl/worksheets/sheet8.xml><?xml version="1.0" encoding="utf-8"?>
<worksheet xmlns="http://schemas.openxmlformats.org/spreadsheetml/2006/main">
  <sheetPr>
    <tabColor rgb="00F2A65A"/>
    <outlinePr summaryBelow="1" summaryRight="1"/>
    <pageSetUpPr/>
  </sheetPr>
  <dimension ref="A1:F44"/>
  <sheetViews>
    <sheetView showGridLines="0" zoomScale="90" workbookViewId="0">
      <selection activeCell="A1" sqref="A1"/>
    </sheetView>
  </sheetViews>
  <sheetFormatPr baseColWidth="8" defaultRowHeight="15"/>
  <cols>
    <col width="30" customWidth="1" min="1" max="1"/>
    <col width="22" customWidth="1" min="2" max="2"/>
    <col width="18" customWidth="1" min="3" max="3"/>
    <col width="18" customWidth="1" min="4" max="4"/>
    <col width="20" customWidth="1" min="5" max="5"/>
    <col width="60" customWidth="1" min="6" max="6"/>
  </cols>
  <sheetData>
    <row r="1">
      <c r="A1" s="1" t="inlineStr">
        <is>
          <t>Break-even and trade-off analysis</t>
        </is>
      </c>
    </row>
    <row r="2">
      <c r="A2" s="2" t="inlineStr">
        <is>
          <t>How far a driver can move before the budget breaches, and what each stock-cover policy costs.</t>
        </is>
      </c>
    </row>
    <row r="5" ht="32" customHeight="1">
      <c r="A5" s="10" t="inlineStr">
        <is>
          <t>Lever</t>
        </is>
      </c>
      <c r="B5" s="10" t="inlineStr">
        <is>
          <t>Condition</t>
        </is>
      </c>
      <c r="C5" s="10" t="inlineStr">
        <is>
          <t>Break-even value</t>
        </is>
      </c>
      <c r="D5" s="10" t="inlineStr">
        <is>
          <t>Result at low</t>
        </is>
      </c>
      <c r="E5" s="10" t="inlineStr">
        <is>
          <t>Result at high</t>
        </is>
      </c>
      <c r="F5" s="10" t="inlineStr">
        <is>
          <t>Note</t>
        </is>
      </c>
    </row>
    <row r="6">
      <c r="A6" s="13" t="inlineStr">
        <is>
          <t>price_inflation_pct</t>
        </is>
      </c>
      <c r="B6" s="13" t="inlineStr">
        <is>
          <t>funding_gap == 0</t>
        </is>
      </c>
      <c r="C6" s="43" t="n">
        <v>0.0725</v>
      </c>
      <c r="D6" s="22" t="n">
        <v>0</v>
      </c>
      <c r="E6" s="22" t="n">
        <v>131549032.46</v>
      </c>
      <c r="F6" s="14" t="inlineStr">
        <is>
          <t>Solved by bisection to 0.0001</t>
        </is>
      </c>
    </row>
    <row r="7">
      <c r="A7" s="13" t="inlineStr">
        <is>
          <t>demand_growth_pct</t>
        </is>
      </c>
      <c r="B7" s="13" t="inlineStr">
        <is>
          <t>funding_gap == 0</t>
        </is>
      </c>
      <c r="C7" s="43" t="n">
        <v>0.0331</v>
      </c>
      <c r="D7" s="22" t="n">
        <v>0</v>
      </c>
      <c r="E7" s="22" t="n">
        <v>215969974.66</v>
      </c>
      <c r="F7" s="14" t="inlineStr">
        <is>
          <t>Solved by bisection to 0.0001</t>
        </is>
      </c>
    </row>
    <row r="8">
      <c r="A8" s="13" t="inlineStr">
        <is>
          <t>funding_cut_pct</t>
        </is>
      </c>
      <c r="B8" s="13" t="inlineStr">
        <is>
          <t>funding_gap == 0</t>
        </is>
      </c>
      <c r="C8" s="13" t="inlineStr">
        <is>
          <t>n/a</t>
        </is>
      </c>
      <c r="D8" s="22" t="n">
        <v>2486296.03</v>
      </c>
      <c r="E8" s="22" t="n">
        <v>139381096.02</v>
      </c>
      <c r="F8" s="14" t="inlineStr">
        <is>
          <t>Already breached at the lower bound: the break-even value is below the search range</t>
        </is>
      </c>
    </row>
    <row r="9">
      <c r="A9" s="13" t="inlineStr">
        <is>
          <t>target_cover_days</t>
        </is>
      </c>
      <c r="B9" s="13" t="inlineStr">
        <is>
          <t>curve</t>
        </is>
      </c>
      <c r="C9" s="13" t="inlineStr">
        <is>
          <t>n/a</t>
        </is>
      </c>
      <c r="D9" s="22" t="n">
        <v>0</v>
      </c>
      <c r="E9" s="22" t="n">
        <v>0</v>
      </c>
      <c r="F9" s="14" t="inlineStr">
        <is>
          <t>Trade-off curve: purchase cost, expiry risk and working capital by cover policy</t>
        </is>
      </c>
    </row>
    <row r="12">
      <c r="A12" s="42" t="inlineStr">
        <is>
          <t>Stock-cover policy trade-off</t>
        </is>
      </c>
    </row>
    <row r="13" ht="32" customHeight="1">
      <c r="A13" s="10" t="inlineStr">
        <is>
          <t>Target cover (days)</t>
        </is>
      </c>
      <c r="B13" s="10" t="inlineStr">
        <is>
          <t>Purchase requirement</t>
        </is>
      </c>
      <c r="C13" s="10" t="inlineStr">
        <is>
          <t>Expiry risk</t>
        </is>
      </c>
      <c r="D13" s="10" t="inlineStr">
        <is>
          <t>Working capital</t>
        </is>
      </c>
      <c r="E13" s="10" t="inlineStr">
        <is>
          <t>Stock-out items</t>
        </is>
      </c>
    </row>
    <row r="14">
      <c r="A14" s="44" t="n">
        <v>30</v>
      </c>
      <c r="B14" s="22" t="n">
        <v>136795440.82</v>
      </c>
      <c r="C14" s="22" t="n">
        <v>3944941.69</v>
      </c>
      <c r="D14" s="22" t="n">
        <v>20414565.85</v>
      </c>
      <c r="E14" s="22" t="n">
        <v>2</v>
      </c>
    </row>
    <row r="15">
      <c r="A15" s="44" t="n">
        <v>36</v>
      </c>
      <c r="B15" s="22" t="n">
        <v>138828426.63</v>
      </c>
      <c r="C15" s="22" t="n">
        <v>3944941.69</v>
      </c>
      <c r="D15" s="22" t="n">
        <v>22955798.11</v>
      </c>
      <c r="E15" s="22" t="n">
        <v>2</v>
      </c>
    </row>
    <row r="16">
      <c r="A16" s="44" t="n">
        <v>42</v>
      </c>
      <c r="B16" s="22" t="n">
        <v>140861412.44</v>
      </c>
      <c r="C16" s="22" t="n">
        <v>3944941.69</v>
      </c>
      <c r="D16" s="22" t="n">
        <v>25497030.38</v>
      </c>
      <c r="E16" s="22" t="n">
        <v>2</v>
      </c>
    </row>
    <row r="17">
      <c r="A17" s="44" t="n">
        <v>48</v>
      </c>
      <c r="B17" s="22" t="n">
        <v>142894398.25</v>
      </c>
      <c r="C17" s="22" t="n">
        <v>3944941.69</v>
      </c>
      <c r="D17" s="22" t="n">
        <v>28038262.64</v>
      </c>
      <c r="E17" s="22" t="n">
        <v>2</v>
      </c>
    </row>
    <row r="18">
      <c r="A18" s="44" t="n">
        <v>54</v>
      </c>
      <c r="B18" s="22" t="n">
        <v>144927384.06</v>
      </c>
      <c r="C18" s="22" t="n">
        <v>3944941.69</v>
      </c>
      <c r="D18" s="22" t="n">
        <v>30579494.9</v>
      </c>
      <c r="E18" s="22" t="n">
        <v>2</v>
      </c>
    </row>
    <row r="19">
      <c r="A19" s="44" t="n">
        <v>60</v>
      </c>
      <c r="B19" s="22" t="n">
        <v>146960369.87</v>
      </c>
      <c r="C19" s="22" t="n">
        <v>3944941.69</v>
      </c>
      <c r="D19" s="22" t="n">
        <v>33120727.17</v>
      </c>
      <c r="E19" s="22" t="n">
        <v>2</v>
      </c>
    </row>
    <row r="20">
      <c r="A20" s="44" t="n">
        <v>66</v>
      </c>
      <c r="B20" s="22" t="n">
        <v>148993355.68</v>
      </c>
      <c r="C20" s="22" t="n">
        <v>3944941.69</v>
      </c>
      <c r="D20" s="22" t="n">
        <v>35661959.43</v>
      </c>
      <c r="E20" s="22" t="n">
        <v>2</v>
      </c>
    </row>
    <row r="21">
      <c r="A21" s="44" t="n">
        <v>72</v>
      </c>
      <c r="B21" s="22" t="n">
        <v>151026341.5</v>
      </c>
      <c r="C21" s="22" t="n">
        <v>3944941.69</v>
      </c>
      <c r="D21" s="22" t="n">
        <v>38203191.69</v>
      </c>
      <c r="E21" s="22" t="n">
        <v>2</v>
      </c>
    </row>
    <row r="22">
      <c r="A22" s="44" t="n">
        <v>78</v>
      </c>
      <c r="B22" s="22" t="n">
        <v>153059327.31</v>
      </c>
      <c r="C22" s="22" t="n">
        <v>3944941.69</v>
      </c>
      <c r="D22" s="22" t="n">
        <v>40744423.96</v>
      </c>
      <c r="E22" s="22" t="n">
        <v>2</v>
      </c>
    </row>
    <row r="23">
      <c r="A23" s="44" t="n">
        <v>84</v>
      </c>
      <c r="B23" s="22" t="n">
        <v>155092313.12</v>
      </c>
      <c r="C23" s="22" t="n">
        <v>3944941.69</v>
      </c>
      <c r="D23" s="22" t="n">
        <v>43285656.22</v>
      </c>
      <c r="E23" s="22" t="n">
        <v>2</v>
      </c>
    </row>
    <row r="24">
      <c r="A24" s="44" t="n">
        <v>90</v>
      </c>
      <c r="B24" s="22" t="n">
        <v>157178997.71</v>
      </c>
      <c r="C24" s="22" t="n">
        <v>3944941.69</v>
      </c>
      <c r="D24" s="22" t="n">
        <v>45826888.48</v>
      </c>
      <c r="E24" s="22" t="n">
        <v>2</v>
      </c>
    </row>
    <row r="25">
      <c r="A25" s="44" t="n">
        <v>96</v>
      </c>
      <c r="B25" s="22" t="n">
        <v>159720229.97</v>
      </c>
      <c r="C25" s="22" t="n">
        <v>3944941.69</v>
      </c>
      <c r="D25" s="22" t="n">
        <v>48368120.75</v>
      </c>
      <c r="E25" s="22" t="n">
        <v>2</v>
      </c>
    </row>
    <row r="26">
      <c r="A26" s="44" t="n">
        <v>102</v>
      </c>
      <c r="B26" s="22" t="n">
        <v>162261462.24</v>
      </c>
      <c r="C26" s="22" t="n">
        <v>3944941.69</v>
      </c>
      <c r="D26" s="22" t="n">
        <v>50909353.01</v>
      </c>
      <c r="E26" s="22" t="n">
        <v>2</v>
      </c>
    </row>
    <row r="27">
      <c r="A27" s="44" t="n">
        <v>108</v>
      </c>
      <c r="B27" s="22" t="n">
        <v>164802694.5</v>
      </c>
      <c r="C27" s="22" t="n">
        <v>3944941.69</v>
      </c>
      <c r="D27" s="22" t="n">
        <v>53450585.27</v>
      </c>
      <c r="E27" s="22" t="n">
        <v>2</v>
      </c>
    </row>
    <row r="28">
      <c r="A28" s="44" t="n">
        <v>114</v>
      </c>
      <c r="B28" s="22" t="n">
        <v>167343926.76</v>
      </c>
      <c r="C28" s="22" t="n">
        <v>3944941.69</v>
      </c>
      <c r="D28" s="22" t="n">
        <v>55991817.54</v>
      </c>
      <c r="E28" s="22" t="n">
        <v>2</v>
      </c>
    </row>
    <row r="29">
      <c r="A29" s="44" t="n">
        <v>120</v>
      </c>
      <c r="B29" s="22" t="n">
        <v>169885159.03</v>
      </c>
      <c r="C29" s="22" t="n">
        <v>3944941.69</v>
      </c>
      <c r="D29" s="22" t="n">
        <v>58533049.8</v>
      </c>
      <c r="E29" s="22" t="n">
        <v>2</v>
      </c>
    </row>
    <row r="30">
      <c r="A30" s="44" t="n">
        <v>126</v>
      </c>
      <c r="B30" s="22" t="n">
        <v>172426391.29</v>
      </c>
      <c r="C30" s="22" t="n">
        <v>3944941.69</v>
      </c>
      <c r="D30" s="22" t="n">
        <v>61074282.06</v>
      </c>
      <c r="E30" s="22" t="n">
        <v>2</v>
      </c>
    </row>
    <row r="31">
      <c r="A31" s="44" t="n">
        <v>132</v>
      </c>
      <c r="B31" s="22" t="n">
        <v>174967623.55</v>
      </c>
      <c r="C31" s="22" t="n">
        <v>3944941.69</v>
      </c>
      <c r="D31" s="22" t="n">
        <v>63615514.33</v>
      </c>
      <c r="E31" s="22" t="n">
        <v>2</v>
      </c>
    </row>
    <row r="32">
      <c r="A32" s="44" t="n">
        <v>138</v>
      </c>
      <c r="B32" s="22" t="n">
        <v>177508855.82</v>
      </c>
      <c r="C32" s="22" t="n">
        <v>3944941.69</v>
      </c>
      <c r="D32" s="22" t="n">
        <v>66156746.59</v>
      </c>
      <c r="E32" s="22" t="n">
        <v>2</v>
      </c>
    </row>
    <row r="33">
      <c r="A33" s="44" t="n">
        <v>144</v>
      </c>
      <c r="B33" s="22" t="n">
        <v>180050088.08</v>
      </c>
      <c r="C33" s="22" t="n">
        <v>3944941.69</v>
      </c>
      <c r="D33" s="22" t="n">
        <v>68697978.84999999</v>
      </c>
      <c r="E33" s="22" t="n">
        <v>2</v>
      </c>
    </row>
    <row r="34">
      <c r="A34" s="44" t="n">
        <v>150</v>
      </c>
      <c r="B34" s="22" t="n">
        <v>182591320.34</v>
      </c>
      <c r="C34" s="22" t="n">
        <v>3944941.69</v>
      </c>
      <c r="D34" s="22" t="n">
        <v>71239211.12</v>
      </c>
      <c r="E34" s="22" t="n">
        <v>2</v>
      </c>
    </row>
    <row r="35">
      <c r="A35" s="44" t="n">
        <v>156</v>
      </c>
      <c r="B35" s="22" t="n">
        <v>185132552.61</v>
      </c>
      <c r="C35" s="22" t="n">
        <v>3944941.69</v>
      </c>
      <c r="D35" s="22" t="n">
        <v>73780443.38</v>
      </c>
      <c r="E35" s="22" t="n">
        <v>2</v>
      </c>
    </row>
    <row r="36">
      <c r="A36" s="44" t="n">
        <v>162</v>
      </c>
      <c r="B36" s="22" t="n">
        <v>187673784.87</v>
      </c>
      <c r="C36" s="22" t="n">
        <v>3944941.69</v>
      </c>
      <c r="D36" s="22" t="n">
        <v>76321675.64</v>
      </c>
      <c r="E36" s="22" t="n">
        <v>2</v>
      </c>
    </row>
    <row r="37">
      <c r="A37" s="44" t="n">
        <v>168</v>
      </c>
      <c r="B37" s="22" t="n">
        <v>190215017.13</v>
      </c>
      <c r="C37" s="22" t="n">
        <v>3944941.69</v>
      </c>
      <c r="D37" s="22" t="n">
        <v>78862907.91</v>
      </c>
      <c r="E37" s="22" t="n">
        <v>2</v>
      </c>
    </row>
    <row r="38">
      <c r="A38" s="44" t="n">
        <v>174</v>
      </c>
      <c r="B38" s="22" t="n">
        <v>192756249.4</v>
      </c>
      <c r="C38" s="22" t="n">
        <v>3944941.69</v>
      </c>
      <c r="D38" s="22" t="n">
        <v>81404140.17</v>
      </c>
      <c r="E38" s="22" t="n">
        <v>2</v>
      </c>
    </row>
    <row r="39">
      <c r="A39" s="44" t="n">
        <v>180</v>
      </c>
      <c r="B39" s="22" t="n">
        <v>195297481.66</v>
      </c>
      <c r="C39" s="22" t="n">
        <v>3944941.69</v>
      </c>
      <c r="D39" s="22" t="n">
        <v>83945372.43000001</v>
      </c>
      <c r="E39" s="22" t="n">
        <v>2</v>
      </c>
    </row>
    <row r="40">
      <c r="A40" s="44" t="n">
        <v>186</v>
      </c>
      <c r="B40" s="22" t="n">
        <v>197838713.92</v>
      </c>
      <c r="C40" s="22" t="n">
        <v>3944941.69</v>
      </c>
      <c r="D40" s="22" t="n">
        <v>86486604.7</v>
      </c>
      <c r="E40" s="22" t="n">
        <v>2</v>
      </c>
    </row>
    <row r="41">
      <c r="A41" s="44" t="n">
        <v>192</v>
      </c>
      <c r="B41" s="22" t="n">
        <v>200379946.19</v>
      </c>
      <c r="C41" s="22" t="n">
        <v>3944941.69</v>
      </c>
      <c r="D41" s="22" t="n">
        <v>89027836.95999999</v>
      </c>
      <c r="E41" s="22" t="n">
        <v>2</v>
      </c>
    </row>
    <row r="42">
      <c r="A42" s="44" t="n">
        <v>198</v>
      </c>
      <c r="B42" s="22" t="n">
        <v>202921178.45</v>
      </c>
      <c r="C42" s="22" t="n">
        <v>3944941.69</v>
      </c>
      <c r="D42" s="22" t="n">
        <v>91569069.22</v>
      </c>
      <c r="E42" s="22" t="n">
        <v>2</v>
      </c>
    </row>
    <row r="43">
      <c r="A43" s="44" t="n">
        <v>204</v>
      </c>
      <c r="B43" s="22" t="n">
        <v>205462410.71</v>
      </c>
      <c r="C43" s="22" t="n">
        <v>3944941.69</v>
      </c>
      <c r="D43" s="22" t="n">
        <v>94110301.48999999</v>
      </c>
      <c r="E43" s="22" t="n">
        <v>2</v>
      </c>
    </row>
    <row r="44">
      <c r="A44" s="44" t="n">
        <v>210</v>
      </c>
      <c r="B44" s="22" t="n">
        <v>208003642.98</v>
      </c>
      <c r="C44" s="22" t="n">
        <v>3944941.69</v>
      </c>
      <c r="D44" s="22" t="n">
        <v>96651533.75</v>
      </c>
      <c r="E44" s="22" t="n">
        <v>2</v>
      </c>
    </row>
  </sheetData>
  <mergeCells count="1">
    <mergeCell ref="A2:F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E45756"/>
    <outlinePr summaryBelow="1" summaryRight="1"/>
    <pageSetUpPr/>
  </sheetPr>
  <dimension ref="A1:G21"/>
  <sheetViews>
    <sheetView showGridLines="0" zoomScale="9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Two-way table – demand growth x price inflation</t>
        </is>
      </c>
    </row>
    <row r="2">
      <c r="A2" s="2" t="inlineStr">
        <is>
          <t>Each cell is a full model run. Row = demand growth, column = price inflation. Use it to locate the current position and see which direction hurts more.</t>
        </is>
      </c>
    </row>
    <row r="4">
      <c r="A4" s="42" t="inlineStr">
        <is>
          <t>Funding gap (PKR)</t>
        </is>
      </c>
    </row>
    <row r="5" ht="32" customHeight="1">
      <c r="A5" s="10" t="inlineStr">
        <is>
          <t>demand_growth_pct \ price_inflation_pct</t>
        </is>
      </c>
      <c r="B5" s="10" t="inlineStr">
        <is>
          <t>0%</t>
        </is>
      </c>
      <c r="C5" s="10" t="inlineStr">
        <is>
          <t>5%</t>
        </is>
      </c>
      <c r="D5" s="10" t="inlineStr">
        <is>
          <t>9%</t>
        </is>
      </c>
      <c r="E5" s="10" t="inlineStr">
        <is>
          <t>15%</t>
        </is>
      </c>
      <c r="F5" s="10" t="inlineStr">
        <is>
          <t>20%</t>
        </is>
      </c>
      <c r="G5" s="10" t="inlineStr">
        <is>
          <t>25%</t>
        </is>
      </c>
    </row>
    <row r="6">
      <c r="A6" s="13" t="inlineStr">
        <is>
          <t>-20%</t>
        </is>
      </c>
      <c r="B6" s="22" t="n">
        <v>0</v>
      </c>
      <c r="C6" s="22" t="n">
        <v>0</v>
      </c>
      <c r="D6" s="22" t="n">
        <v>0</v>
      </c>
      <c r="E6" s="22" t="n">
        <v>0</v>
      </c>
      <c r="F6" s="22" t="n">
        <v>0</v>
      </c>
      <c r="G6" s="22" t="n">
        <v>0</v>
      </c>
    </row>
    <row r="7">
      <c r="A7" s="13" t="inlineStr">
        <is>
          <t>-10%</t>
        </is>
      </c>
      <c r="B7" s="22" t="n">
        <v>0</v>
      </c>
      <c r="C7" s="22" t="n">
        <v>0</v>
      </c>
      <c r="D7" s="22" t="n">
        <v>0</v>
      </c>
      <c r="E7" s="22" t="n">
        <v>0</v>
      </c>
      <c r="F7" s="22" t="n">
        <v>0</v>
      </c>
      <c r="G7" s="22" t="n">
        <v>0</v>
      </c>
    </row>
    <row r="8">
      <c r="A8" s="13" t="inlineStr">
        <is>
          <t>0%</t>
        </is>
      </c>
      <c r="B8" s="22" t="n">
        <v>0</v>
      </c>
      <c r="C8" s="22" t="n">
        <v>0</v>
      </c>
      <c r="D8" s="22" t="n">
        <v>0</v>
      </c>
      <c r="E8" s="22" t="n">
        <v>3229200.32</v>
      </c>
      <c r="F8" s="22" t="n">
        <v>9982875.689999999</v>
      </c>
      <c r="G8" s="22" t="n">
        <v>16736551.07</v>
      </c>
    </row>
    <row r="9">
      <c r="A9" s="13" t="inlineStr">
        <is>
          <t>10%</t>
        </is>
      </c>
      <c r="B9" s="22" t="n">
        <v>0</v>
      </c>
      <c r="C9" s="22" t="n">
        <v>3904567.86</v>
      </c>
      <c r="D9" s="22" t="n">
        <v>9847802.189999999</v>
      </c>
      <c r="E9" s="22" t="n">
        <v>18762653.68</v>
      </c>
      <c r="F9" s="22" t="n">
        <v>26191696.6</v>
      </c>
      <c r="G9" s="22" t="n">
        <v>33620739.51</v>
      </c>
    </row>
    <row r="10">
      <c r="A10" s="13" t="inlineStr">
        <is>
          <t>20%</t>
        </is>
      </c>
      <c r="B10" s="22" t="n">
        <v>9982875.689999999</v>
      </c>
      <c r="C10" s="22" t="n">
        <v>18087286.15</v>
      </c>
      <c r="D10" s="22" t="n">
        <v>24570814.51</v>
      </c>
      <c r="E10" s="22" t="n">
        <v>34296107.05</v>
      </c>
      <c r="F10" s="22" t="n">
        <v>42400517.5</v>
      </c>
      <c r="G10" s="22" t="n">
        <v>50504927.95</v>
      </c>
    </row>
    <row r="11">
      <c r="A11" s="13" t="inlineStr">
        <is>
          <t>30%</t>
        </is>
      </c>
      <c r="B11" s="22" t="n">
        <v>23490226.45</v>
      </c>
      <c r="C11" s="22" t="n">
        <v>32270004.43</v>
      </c>
      <c r="D11" s="22" t="n">
        <v>39293826.83</v>
      </c>
      <c r="E11" s="22" t="n">
        <v>49829560.41</v>
      </c>
      <c r="F11" s="22" t="n">
        <v>58609338.4</v>
      </c>
      <c r="G11" s="22" t="n">
        <v>67389116.39</v>
      </c>
    </row>
    <row r="14">
      <c r="A14" s="42" t="inlineStr">
        <is>
          <t>Budget utilisation</t>
        </is>
      </c>
    </row>
    <row r="15" ht="32" customHeight="1">
      <c r="A15" s="10" t="inlineStr">
        <is>
          <t>demand_growth_pct \ price_inflation_pct</t>
        </is>
      </c>
      <c r="B15" s="10" t="inlineStr">
        <is>
          <t>0%</t>
        </is>
      </c>
      <c r="C15" s="10" t="inlineStr">
        <is>
          <t>5%</t>
        </is>
      </c>
      <c r="D15" s="10" t="inlineStr">
        <is>
          <t>9%</t>
        </is>
      </c>
      <c r="E15" s="10" t="inlineStr">
        <is>
          <t>15%</t>
        </is>
      </c>
      <c r="F15" s="10" t="inlineStr">
        <is>
          <t>20%</t>
        </is>
      </c>
      <c r="G15" s="10" t="inlineStr">
        <is>
          <t>25%</t>
        </is>
      </c>
    </row>
    <row r="16">
      <c r="A16" s="13" t="inlineStr">
        <is>
          <t>-20%</t>
        </is>
      </c>
      <c r="B16" s="23" t="n">
        <v>0.71</v>
      </c>
      <c r="C16" s="23" t="n">
        <v>0.746</v>
      </c>
      <c r="D16" s="23" t="n">
        <v>0.774</v>
      </c>
      <c r="E16" s="23" t="n">
        <v>0.8169999999999999</v>
      </c>
      <c r="F16" s="23" t="n">
        <v>0.853</v>
      </c>
      <c r="G16" s="23" t="n">
        <v>0.888</v>
      </c>
    </row>
    <row r="17">
      <c r="A17" s="13" t="inlineStr">
        <is>
          <t>-10%</t>
        </is>
      </c>
      <c r="B17" s="23" t="n">
        <v>0.799</v>
      </c>
      <c r="C17" s="23" t="n">
        <v>0.839</v>
      </c>
      <c r="D17" s="23" t="n">
        <v>0.871</v>
      </c>
      <c r="E17" s="23" t="n">
        <v>0.919</v>
      </c>
      <c r="F17" s="23" t="n">
        <v>0.959</v>
      </c>
      <c r="G17" s="23" t="n">
        <v>0.999</v>
      </c>
    </row>
    <row r="18">
      <c r="A18" s="13" t="inlineStr">
        <is>
          <t>0%</t>
        </is>
      </c>
      <c r="B18" s="23" t="n">
        <v>0.888</v>
      </c>
      <c r="C18" s="23" t="n">
        <v>0.9320000000000001</v>
      </c>
      <c r="D18" s="23" t="n">
        <v>0.968</v>
      </c>
      <c r="E18" s="23" t="n">
        <v>1.021</v>
      </c>
      <c r="F18" s="23" t="n">
        <v>1.066</v>
      </c>
      <c r="G18" s="23" t="n">
        <v>1.11</v>
      </c>
    </row>
    <row r="19">
      <c r="A19" s="13" t="inlineStr">
        <is>
          <t>10%</t>
        </is>
      </c>
      <c r="B19" s="23" t="n">
        <v>0.977</v>
      </c>
      <c r="C19" s="23" t="n">
        <v>1.026</v>
      </c>
      <c r="D19" s="23" t="n">
        <v>1.065</v>
      </c>
      <c r="E19" s="23" t="n">
        <v>1.123</v>
      </c>
      <c r="F19" s="23" t="n">
        <v>1.172</v>
      </c>
      <c r="G19" s="23" t="n">
        <v>1.221</v>
      </c>
    </row>
    <row r="20">
      <c r="A20" s="13" t="inlineStr">
        <is>
          <t>20%</t>
        </is>
      </c>
      <c r="B20" s="23" t="n">
        <v>1.066</v>
      </c>
      <c r="C20" s="23" t="n">
        <v>1.119</v>
      </c>
      <c r="D20" s="23" t="n">
        <v>1.162</v>
      </c>
      <c r="E20" s="23" t="n">
        <v>1.225</v>
      </c>
      <c r="F20" s="23" t="n">
        <v>1.279</v>
      </c>
      <c r="G20" s="23" t="n">
        <v>1.332</v>
      </c>
    </row>
    <row r="21">
      <c r="A21" s="13" t="inlineStr">
        <is>
          <t>30%</t>
        </is>
      </c>
      <c r="B21" s="23" t="n">
        <v>1.154</v>
      </c>
      <c r="C21" s="23" t="n">
        <v>1.212</v>
      </c>
      <c r="D21" s="23" t="n">
        <v>1.258</v>
      </c>
      <c r="E21" s="23" t="n">
        <v>1.328</v>
      </c>
      <c r="F21" s="23" t="n">
        <v>1.385</v>
      </c>
      <c r="G21" s="23" t="n">
        <v>1.443</v>
      </c>
    </row>
  </sheetData>
  <mergeCells count="1">
    <mergeCell ref="A2:G2"/>
  </mergeCells>
  <conditionalFormatting sqref="B6:G11">
    <cfRule type="colorScale" priority="1">
      <colorScale>
        <cfvo type="min"/>
        <cfvo type="percentile" val="50"/>
        <cfvo type="max"/>
        <color rgb="00C6EFCE"/>
        <color rgb="00FFEB9C"/>
        <color rgb="00F8CBAD"/>
      </colorScale>
    </cfRule>
  </conditionalFormatting>
  <conditionalFormatting sqref="B16:G21">
    <cfRule type="colorScale" priority="2">
      <colorScale>
        <cfvo type="min"/>
        <cfvo type="percentile" val="50"/>
        <cfvo type="max"/>
        <color rgb="00C6EFCE"/>
        <color rgb="00FFEB9C"/>
        <color rgb="00F8CBAD"/>
      </colorScale>
    </cfRule>
  </conditionalFormatting>
  <pageMargins left="0.75" right="0.75" top="1" bottom="1" header="0.5" footer="0.5"/>
</worksheet>
</file>

<file path=xl/worksheets/sheet10.xml><?xml version="1.0" encoding="utf-8"?>
<worksheet xmlns="http://schemas.openxmlformats.org/spreadsheetml/2006/main">
  <sheetPr>
    <tabColor rgb="001F3B57"/>
    <outlinePr summaryBelow="1" summaryRight="1"/>
    <pageSetUpPr/>
  </sheetPr>
  <dimension ref="A1:G23"/>
  <sheetViews>
    <sheetView showGridLines="0" zoomScale="90" workbookViewId="0">
      <selection activeCell="A1" sqref="A1"/>
    </sheetView>
  </sheetViews>
  <sheetFormatPr baseColWidth="8" defaultRowHeight="15"/>
  <cols>
    <col width="26" customWidth="1" min="1" max="1"/>
    <col width="36" customWidth="1" min="2" max="2"/>
    <col width="10" customWidth="1" min="3" max="3"/>
    <col width="10" customWidth="1" min="4" max="4"/>
    <col width="12" customWidth="1" min="5" max="5"/>
    <col width="18" customWidth="1" min="6" max="6"/>
    <col width="56" customWidth="1" min="7" max="7"/>
  </cols>
  <sheetData>
    <row r="1">
      <c r="A1" s="1" t="inlineStr">
        <is>
          <t>Lever catalogue – what management can actually change</t>
        </is>
      </c>
    </row>
    <row r="2">
      <c r="A2" s="2" t="inlineStr">
        <is>
          <t>Every lever in the model, with the working range, the owner and the effect it has.</t>
        </is>
      </c>
    </row>
    <row r="5" ht="32" customHeight="1">
      <c r="A5" s="10" t="inlineStr">
        <is>
          <t>Lever (parameter key)</t>
        </is>
      </c>
      <c r="B5" s="10" t="inlineStr">
        <is>
          <t>Lever</t>
        </is>
      </c>
      <c r="C5" s="10" t="inlineStr">
        <is>
          <t>Current</t>
        </is>
      </c>
      <c r="D5" s="10" t="inlineStr">
        <is>
          <t>Range</t>
        </is>
      </c>
      <c r="E5" s="10" t="inlineStr">
        <is>
          <t>Group</t>
        </is>
      </c>
      <c r="F5" s="10" t="inlineStr">
        <is>
          <t>Owner</t>
        </is>
      </c>
      <c r="G5" s="10" t="inlineStr">
        <is>
          <t>Effect when moved</t>
        </is>
      </c>
    </row>
    <row r="6">
      <c r="A6" s="13" t="inlineStr">
        <is>
          <t>demand_growth_pct</t>
        </is>
      </c>
      <c r="B6" s="14" t="inlineStr">
        <is>
          <t>Demand growth (annual)</t>
        </is>
      </c>
      <c r="C6" s="17" t="n">
        <v>0.05</v>
      </c>
      <c r="D6" s="13" t="inlineStr">
        <is>
          <t>-0.3 – 0.5</t>
        </is>
      </c>
      <c r="E6" s="13" t="inlineStr">
        <is>
          <t>Demand</t>
        </is>
      </c>
      <c r="F6" s="13" t="inlineStr">
        <is>
          <t>Programme</t>
        </is>
      </c>
      <c r="G6" s="14" t="inlineStr">
        <is>
          <t>Raises consumption, purchasing and the funding gap almost one-for-one; also raises stock-out risk.</t>
        </is>
      </c>
    </row>
    <row r="7">
      <c r="A7" s="13" t="inlineStr">
        <is>
          <t>service_volume_growth_pct</t>
        </is>
      </c>
      <c r="B7" s="14" t="inlineStr">
        <is>
          <t>Service volume (beneficiary) growth</t>
        </is>
      </c>
      <c r="C7" s="17" t="n">
        <v>0.04</v>
      </c>
      <c r="D7" s="13" t="inlineStr">
        <is>
          <t>-0.3 – 0.5</t>
        </is>
      </c>
      <c r="E7" s="13" t="inlineStr">
        <is>
          <t>Demand</t>
        </is>
      </c>
      <c r="F7" s="13" t="inlineStr">
        <is>
          <t>Programme</t>
        </is>
      </c>
      <c r="G7" s="14" t="inlineStr">
        <is>
          <t>Lowers cost per beneficiary when it rises; does not by itself change consumption.</t>
        </is>
      </c>
    </row>
    <row r="8">
      <c r="A8" s="13" t="inlineStr">
        <is>
          <t>activity_factor</t>
        </is>
      </c>
      <c r="B8" s="14" t="inlineStr">
        <is>
          <t>Project activity factor (next 12 months)</t>
        </is>
      </c>
      <c r="C8" s="17" t="n">
        <v>1</v>
      </c>
      <c r="D8" s="13" t="inlineStr">
        <is>
          <t>0.1 – 1.0</t>
        </is>
      </c>
      <c r="E8" s="13" t="inlineStr">
        <is>
          <t>Demand</t>
        </is>
      </c>
      <c r="F8" s="13" t="inlineStr">
        <is>
          <t>Programme</t>
        </is>
      </c>
      <c r="G8" s="14" t="inlineStr">
        <is>
          <t>Scales every projection; use it for project start and end effects.</t>
        </is>
      </c>
    </row>
    <row r="9">
      <c r="A9" s="13" t="inlineStr">
        <is>
          <t>price_inflation_pct</t>
        </is>
      </c>
      <c r="B9" s="14" t="inlineStr">
        <is>
          <t>Price inflation (annual)</t>
        </is>
      </c>
      <c r="C9" s="17" t="n">
        <v>0.09</v>
      </c>
      <c r="D9" s="13" t="inlineStr">
        <is>
          <t>-0.1 – 0.4</t>
        </is>
      </c>
      <c r="E9" s="13" t="inlineStr">
        <is>
          <t>Price</t>
        </is>
      </c>
      <c r="F9" s="13" t="inlineStr">
        <is>
          <t>Procurement</t>
        </is>
      </c>
      <c r="G9" s="14" t="inlineStr">
        <is>
          <t>The single largest driver of the funding gap after demand; flows straight into purchase value.</t>
        </is>
      </c>
    </row>
    <row r="10">
      <c r="A10" s="13" t="inlineStr">
        <is>
          <t>price_shock_pct</t>
        </is>
      </c>
      <c r="B10" s="14" t="inlineStr">
        <is>
          <t>One-off price shock</t>
        </is>
      </c>
      <c r="C10" s="17" t="n">
        <v>0</v>
      </c>
      <c r="D10" s="13" t="inlineStr">
        <is>
          <t>-0.2 – 0.5</t>
        </is>
      </c>
      <c r="E10" s="13" t="inlineStr">
        <is>
          <t>Price</t>
        </is>
      </c>
      <c r="F10" s="13" t="inlineStr">
        <is>
          <t>Procurement</t>
        </is>
      </c>
      <c r="G10" s="14" t="inlineStr">
        <is>
          <t>One-off price event; use to model a currency move or loss of contract price.</t>
        </is>
      </c>
    </row>
    <row r="11">
      <c r="A11" s="13" t="inlineStr">
        <is>
          <t>bulk_discount_pct</t>
        </is>
      </c>
      <c r="B11" s="14" t="inlineStr">
        <is>
          <t>Bulk / framework discount</t>
        </is>
      </c>
      <c r="C11" s="17" t="n">
        <v>0</v>
      </c>
      <c r="D11" s="13" t="inlineStr">
        <is>
          <t>0.0 – 0.25</t>
        </is>
      </c>
      <c r="E11" s="13" t="inlineStr">
        <is>
          <t>Price</t>
        </is>
      </c>
      <c r="F11" s="13" t="inlineStr">
        <is>
          <t>Procurement</t>
        </is>
      </c>
      <c r="G11" s="14" t="inlineStr">
        <is>
          <t>Reduces purchase value and improves the ratio; the counterpart of framework contracting.</t>
        </is>
      </c>
    </row>
    <row r="12">
      <c r="A12" s="13" t="inlineStr">
        <is>
          <t>lead_time_multiplier</t>
        </is>
      </c>
      <c r="B12" s="14" t="inlineStr">
        <is>
          <t>Supplier lead-time multiplier</t>
        </is>
      </c>
      <c r="C12" s="17" t="n">
        <v>1</v>
      </c>
      <c r="D12" s="13" t="inlineStr">
        <is>
          <t>0.5 – 3.0</t>
        </is>
      </c>
      <c r="E12" s="13" t="inlineStr">
        <is>
          <t>Supply</t>
        </is>
      </c>
      <c r="F12" s="13" t="inlineStr">
        <is>
          <t>Procurement</t>
        </is>
      </c>
      <c r="G12" s="14" t="inlineStr">
        <is>
          <t>Raises safety stock and target stock, so purchasing rises and stock-out risk grows sharply.</t>
        </is>
      </c>
    </row>
    <row r="13">
      <c r="A13" s="13" t="inlineStr">
        <is>
          <t>supplier_reliability_pct</t>
        </is>
      </c>
      <c r="B13" s="14" t="inlineStr">
        <is>
          <t>Supplier on-time reliability</t>
        </is>
      </c>
      <c r="C13" s="17" t="n">
        <v>0.9</v>
      </c>
      <c r="D13" s="13" t="inlineStr">
        <is>
          <t>0.4 – 1.0</t>
        </is>
      </c>
      <c r="E13" s="13" t="inlineStr">
        <is>
          <t>Supply</t>
        </is>
      </c>
      <c r="F13" s="13" t="inlineStr">
        <is>
          <t>Procurement</t>
        </is>
      </c>
      <c r="G13" s="14" t="inlineStr">
        <is>
          <t>Raises safety stock when it falls; the main driver of stock-out risk.</t>
        </is>
      </c>
    </row>
    <row r="14">
      <c r="A14" s="13" t="inlineStr">
        <is>
          <t>target_cover_days</t>
        </is>
      </c>
      <c r="B14" s="14" t="inlineStr">
        <is>
          <t>Target stock cover</t>
        </is>
      </c>
      <c r="C14" s="17" t="n">
        <v>90</v>
      </c>
      <c r="D14" s="13" t="inlineStr">
        <is>
          <t>15 – 240</t>
        </is>
      </c>
      <c r="E14" s="13" t="inlineStr">
        <is>
          <t>Policy</t>
        </is>
      </c>
      <c r="F14" s="13" t="inlineStr">
        <is>
          <t>Head of Procurement</t>
        </is>
      </c>
      <c r="G14" s="14" t="inlineStr">
        <is>
          <t>Trades working capital and purchase cost against stock-out protection.</t>
        </is>
      </c>
    </row>
    <row r="15">
      <c r="A15" s="13" t="inlineStr">
        <is>
          <t>safety_stock_days</t>
        </is>
      </c>
      <c r="B15" s="14" t="inlineStr">
        <is>
          <t>Safety stock</t>
        </is>
      </c>
      <c r="C15" s="17" t="n">
        <v>15</v>
      </c>
      <c r="D15" s="13" t="inlineStr">
        <is>
          <t>0 – 90</t>
        </is>
      </c>
      <c r="E15" s="13" t="inlineStr">
        <is>
          <t>Policy</t>
        </is>
      </c>
      <c r="F15" s="13" t="inlineStr">
        <is>
          <t>Head of Procurement</t>
        </is>
      </c>
      <c r="G15" s="14" t="inlineStr">
        <is>
          <t>Adds buffer: more stock, fewer stock-outs, more expiry risk.</t>
        </is>
      </c>
    </row>
    <row r="16">
      <c r="A16" s="13" t="inlineStr">
        <is>
          <t>max_cover_days</t>
        </is>
      </c>
      <c r="B16" s="14" t="inlineStr">
        <is>
          <t>Maximum acceptable cover</t>
        </is>
      </c>
      <c r="C16" s="17" t="n">
        <v>180</v>
      </c>
      <c r="D16" s="13" t="inlineStr">
        <is>
          <t>60 – 365</t>
        </is>
      </c>
      <c r="E16" s="13" t="inlineStr">
        <is>
          <t>Policy</t>
        </is>
      </c>
      <c r="F16" s="13" t="inlineStr">
        <is>
          <t>Supply chain</t>
        </is>
      </c>
      <c r="G16" s="14" t="inlineStr">
        <is>
          <t>Defines what counts as overstock; driving it down flags more stock as excess.</t>
        </is>
      </c>
    </row>
    <row r="17">
      <c r="A17" s="13" t="inlineStr">
        <is>
          <t>expiry_alert_days</t>
        </is>
      </c>
      <c r="B17" s="14" t="inlineStr">
        <is>
          <t>Expiry alert window</t>
        </is>
      </c>
      <c r="C17" s="17" t="n">
        <v>60</v>
      </c>
      <c r="D17" s="13" t="inlineStr">
        <is>
          <t>15 – 180</t>
        </is>
      </c>
      <c r="E17" s="13" t="inlineStr">
        <is>
          <t>Policy</t>
        </is>
      </c>
      <c r="F17" s="13" t="inlineStr">
        <is>
          <t>Stores</t>
        </is>
      </c>
      <c r="G17" s="14" t="inlineStr">
        <is>
          <t>Widens the alert window; earlier disposition, less write-off.</t>
        </is>
      </c>
    </row>
    <row r="18">
      <c r="A18" s="13" t="inlineStr">
        <is>
          <t>wastage_rate_pct</t>
        </is>
      </c>
      <c r="B18" s="14" t="inlineStr">
        <is>
          <t>Wastage / write-off rate</t>
        </is>
      </c>
      <c r="C18" s="17" t="n">
        <v>0.015</v>
      </c>
      <c r="D18" s="13" t="inlineStr">
        <is>
          <t>0.0 – 0.1</t>
        </is>
      </c>
      <c r="E18" s="13" t="inlineStr">
        <is>
          <t>Policy</t>
        </is>
      </c>
      <c r="F18" s="13" t="inlineStr">
        <is>
          <t>Stores</t>
        </is>
      </c>
      <c r="G18" s="14" t="inlineStr">
        <is>
          <t>Directly adds replacement purchase and expiry write-off.</t>
        </is>
      </c>
    </row>
    <row r="19">
      <c r="A19" s="13" t="inlineStr">
        <is>
          <t>redistribution_share_pct</t>
        </is>
      </c>
      <c r="B19" s="14" t="inlineStr">
        <is>
          <t>Overstock redistributed</t>
        </is>
      </c>
      <c r="C19" s="17" t="n">
        <v>0</v>
      </c>
      <c r="D19" s="13" t="inlineStr">
        <is>
          <t>0.0 – 1.0</t>
        </is>
      </c>
      <c r="E19" s="13" t="inlineStr">
        <is>
          <t>Policy</t>
        </is>
      </c>
      <c r="F19" s="13" t="inlineStr">
        <is>
          <t>Supply chain</t>
        </is>
      </c>
      <c r="G19" s="14" t="inlineStr">
        <is>
          <t>Converts potential write-off into usable stock; lowers expiry risk.</t>
        </is>
      </c>
    </row>
    <row r="20">
      <c r="A20" s="13" t="inlineStr">
        <is>
          <t>funding_cut_pct</t>
        </is>
      </c>
      <c r="B20" s="14" t="inlineStr">
        <is>
          <t>Funding reduction</t>
        </is>
      </c>
      <c r="C20" s="17" t="n">
        <v>0</v>
      </c>
      <c r="D20" s="13" t="inlineStr">
        <is>
          <t>0.0 – 0.6</t>
        </is>
      </c>
      <c r="E20" s="13" t="inlineStr">
        <is>
          <t>Budget</t>
        </is>
      </c>
      <c r="F20" s="13" t="inlineStr">
        <is>
          <t>Finance &amp; Grants</t>
        </is>
      </c>
      <c r="G20" s="14" t="inlineStr">
        <is>
          <t>Reduces budget available and widens the funding gap without changing consumption.</t>
        </is>
      </c>
    </row>
    <row r="21">
      <c r="A21" s="13" t="inlineStr">
        <is>
          <t>budget_growth_pct</t>
        </is>
      </c>
      <c r="B21" s="14" t="inlineStr">
        <is>
          <t>Budget growth / reallocation</t>
        </is>
      </c>
      <c r="C21" s="17" t="n">
        <v>0</v>
      </c>
      <c r="D21" s="13" t="inlineStr">
        <is>
          <t>-0.3 – 0.5</t>
        </is>
      </c>
      <c r="E21" s="13" t="inlineStr">
        <is>
          <t>Budget</t>
        </is>
      </c>
      <c r="F21" s="13" t="inlineStr">
        <is>
          <t>Finance &amp; Grants</t>
        </is>
      </c>
      <c r="G21" s="14" t="inlineStr">
        <is>
          <t>Closes the funding gap; the lever for reallocation or additional grant.</t>
        </is>
      </c>
    </row>
    <row r="22">
      <c r="A22" s="13" t="inlineStr">
        <is>
          <t>excess_stock_release_pct</t>
        </is>
      </c>
      <c r="B22" s="14" t="inlineStr">
        <is>
          <t>Excess stock used instead of buying</t>
        </is>
      </c>
      <c r="C22" s="17" t="n">
        <v>0.8</v>
      </c>
      <c r="D22" s="13" t="inlineStr">
        <is>
          <t>0.0 – 1.0</t>
        </is>
      </c>
      <c r="E22" s="13" t="inlineStr">
        <is>
          <t>Policy</t>
        </is>
      </c>
      <c r="F22" s="13" t="inlineStr">
        <is>
          <t>Supply chain</t>
        </is>
      </c>
      <c r="G22" s="14" t="inlineStr">
        <is>
          <t>Lets stock already held offset new purchases; lowers purchase value.</t>
        </is>
      </c>
    </row>
    <row r="23">
      <c r="A23" s="13" t="inlineStr">
        <is>
          <t>order_cycle_days</t>
        </is>
      </c>
      <c r="B23" s="14" t="inlineStr">
        <is>
          <t>Purchase cycle length</t>
        </is>
      </c>
      <c r="C23" s="17" t="n">
        <v>30</v>
      </c>
      <c r="D23" s="13" t="inlineStr">
        <is>
          <t>7 – 120</t>
        </is>
      </c>
      <c r="E23" s="13" t="inlineStr">
        <is>
          <t>Supply</t>
        </is>
      </c>
      <c r="F23" s="13" t="inlineStr">
        <is>
          <t>Procurement</t>
        </is>
      </c>
      <c r="G23" s="14" t="inlineStr">
        <is>
          <t>Longer cycles mean larger orders and more average stock; shorter cycles mean more transactions.</t>
        </is>
      </c>
    </row>
  </sheetData>
  <mergeCells count="1">
    <mergeCell ref="A2:G2"/>
  </mergeCells>
  <pageMargins left="0.75" right="0.75" top="1" bottom="1" header="0.5" footer="0.5"/>
</worksheet>
</file>

<file path=xl/worksheets/sheet11.xml><?xml version="1.0" encoding="utf-8"?>
<worksheet xmlns="http://schemas.openxmlformats.org/spreadsheetml/2006/main">
  <sheetPr>
    <tabColor rgb="00595959"/>
    <outlinePr summaryBelow="1" summaryRight="1"/>
    <pageSetUpPr/>
  </sheetPr>
  <dimension ref="A1:F26"/>
  <sheetViews>
    <sheetView showGridLines="0" zoomScale="90" workbookViewId="0">
      <selection activeCell="A1" sqref="A1"/>
    </sheetView>
  </sheetViews>
  <sheetFormatPr baseColWidth="8" defaultRowHeight="15"/>
  <cols>
    <col width="34" customWidth="1" min="1" max="1"/>
    <col width="70" customWidth="1" min="2" max="2"/>
    <col width="60" customWidth="1" min="3" max="3"/>
  </cols>
  <sheetData>
    <row r="1">
      <c r="A1" s="1" t="inlineStr">
        <is>
          <t>Model logic – the equations, in one place</t>
        </is>
      </c>
    </row>
    <row r="2">
      <c r="A2" s="2" t="inlineStr">
        <is>
          <t>Deliberately simple and transparent so that any number can be reproduced by hand.</t>
        </is>
      </c>
    </row>
    <row r="5" ht="32" customHeight="1">
      <c r="A5" s="10" t="inlineStr">
        <is>
          <t>Step</t>
        </is>
      </c>
      <c r="B5" s="10" t="inlineStr">
        <is>
          <t>Equation</t>
        </is>
      </c>
      <c r="C5" s="10" t="inlineStr">
        <is>
          <t>Where it matters</t>
        </is>
      </c>
    </row>
    <row r="6">
      <c r="A6" s="13" t="inlineStr">
        <is>
          <t>Demand factor</t>
        </is>
      </c>
      <c r="B6" s="14" t="inlineStr">
        <is>
          <t>1 + demand_growth_pct</t>
        </is>
      </c>
      <c r="C6" s="14" t="inlineStr">
        <is>
          <t>Scales consumption volume</t>
        </is>
      </c>
    </row>
    <row r="7">
      <c r="A7" s="13" t="inlineStr">
        <is>
          <t>Price factor</t>
        </is>
      </c>
      <c r="B7" s="14" t="inlineStr">
        <is>
          <t>(1 + price_inflation_pct) x (1 + price_shock_pct) x (1 - bulk_discount_pct)</t>
        </is>
      </c>
      <c r="C7" s="14" t="inlineStr">
        <is>
          <t>Scales value</t>
        </is>
      </c>
    </row>
    <row r="8">
      <c r="A8" s="13" t="inlineStr">
        <is>
          <t>Projected consumption value</t>
        </is>
      </c>
      <c r="B8" s="14" t="inlineStr">
        <is>
          <t>run_rate_12 x demand factor x price factor x activity_factor</t>
        </is>
      </c>
      <c r="C8" s="14" t="inlineStr">
        <is>
          <t>Top line of every scenario</t>
        </is>
      </c>
    </row>
    <row r="9">
      <c r="A9" s="13" t="inlineStr">
        <is>
          <t>Lead time used</t>
        </is>
      </c>
      <c r="B9" s="14" t="inlineStr">
        <is>
          <t>avg_lead_days x lead_time_multiplier</t>
        </is>
      </c>
      <c r="C9" s="14" t="inlineStr">
        <is>
          <t>Drives safety stock and stock-out risk</t>
        </is>
      </c>
    </row>
    <row r="10">
      <c r="A10" s="13" t="inlineStr">
        <is>
          <t>Safety stock (days)</t>
        </is>
      </c>
      <c r="B10" s="14" t="inlineStr">
        <is>
          <t>safety_stock_days + lead time x (1 - supplier_reliability_pct)</t>
        </is>
      </c>
      <c r="C10" s="14" t="inlineStr">
        <is>
          <t>Buffer against variability</t>
        </is>
      </c>
    </row>
    <row r="11">
      <c r="A11" s="13" t="inlineStr">
        <is>
          <t>Target stock value</t>
        </is>
      </c>
      <c r="B11" s="14" t="inlineStr">
        <is>
          <t>consumption_value x (target_cover_days + safety days) / 365</t>
        </is>
      </c>
      <c r="C11" s="14" t="inlineStr">
        <is>
          <t>Sets the stock position to fund</t>
        </is>
      </c>
    </row>
    <row r="12">
      <c r="A12" s="13" t="inlineStr">
        <is>
          <t>Available stock</t>
        </is>
      </c>
      <c r="B12" s="14" t="inlineStr">
        <is>
          <t>on_hand_value + open_commitment</t>
        </is>
      </c>
      <c r="C12" s="14" t="inlineStr">
        <is>
          <t>Stock already paid for</t>
        </is>
      </c>
    </row>
    <row r="13">
      <c r="A13" s="13" t="inlineStr">
        <is>
          <t>Top-up purchase</t>
        </is>
      </c>
      <c r="B13" s="14" t="inlineStr">
        <is>
          <t>max(0, target stock - available stock)</t>
        </is>
      </c>
      <c r="C13" s="14" t="inlineStr">
        <is>
          <t>Additional buying needed</t>
        </is>
      </c>
    </row>
    <row r="14">
      <c r="A14" s="13" t="inlineStr">
        <is>
          <t>Stock released instead of buying</t>
        </is>
      </c>
      <c r="B14" s="14" t="inlineStr">
        <is>
          <t>max(0, available stock - target stock) x excess_stock_release_pct</t>
        </is>
      </c>
      <c r="C14" s="14" t="inlineStr">
        <is>
          <t>Working capital released</t>
        </is>
      </c>
    </row>
    <row r="15">
      <c r="A15" s="13" t="inlineStr">
        <is>
          <t>Purchase requirement</t>
        </is>
      </c>
      <c r="B15" s="14" t="inlineStr">
        <is>
          <t>consumption + top-up + wastage replacement - released</t>
        </is>
      </c>
      <c r="C15" s="14" t="inlineStr">
        <is>
          <t>Cash and procurement load</t>
        </is>
      </c>
    </row>
    <row r="16">
      <c r="A16" s="13" t="inlineStr">
        <is>
          <t>Budget available</t>
        </is>
      </c>
      <c r="B16" s="14" t="inlineStr">
        <is>
          <t>annual_budget x (1 - funding_cut_pct) x (1 + budget_growth_pct)</t>
        </is>
      </c>
      <c r="C16" s="14" t="inlineStr">
        <is>
          <t>The envelope</t>
        </is>
      </c>
    </row>
    <row r="17">
      <c r="A17" s="13" t="inlineStr">
        <is>
          <t>Funding gap</t>
        </is>
      </c>
      <c r="B17" s="14" t="inlineStr">
        <is>
          <t>max(0, consumption - budget available)</t>
        </is>
      </c>
      <c r="C17" s="14" t="inlineStr">
        <is>
          <t>The decision trigger</t>
        </is>
      </c>
    </row>
    <row r="18">
      <c r="A18" s="13" t="inlineStr">
        <is>
          <t>Expiry risk value</t>
        </is>
      </c>
      <c r="B18" s="14" t="inlineStr">
        <is>
          <t>near_expiry_share x stock + wastage_rate x consumption + 0.35 x excess stock x (1 - redistribution)</t>
        </is>
      </c>
      <c r="C18" s="14" t="inlineStr">
        <is>
          <t>Write-off exposure</t>
        </is>
      </c>
    </row>
    <row r="19">
      <c r="A19" s="13" t="inlineStr">
        <is>
          <t>Stock-out risk items</t>
        </is>
      </c>
      <c r="B19" s="14" t="inlineStr">
        <is>
          <t>count of items whose projected cover &lt; lead time + safety days</t>
        </is>
      </c>
      <c r="C19" s="14" t="inlineStr">
        <is>
          <t>Service risk</t>
        </is>
      </c>
    </row>
    <row r="20">
      <c r="A20" s="13" t="inlineStr">
        <is>
          <t>Cost per beneficiary</t>
        </is>
      </c>
      <c r="B20" s="14" t="inlineStr">
        <is>
          <t>consumption / (annual_beneficiaries x (1 + service_volume_growth))</t>
        </is>
      </c>
      <c r="C20" s="14" t="inlineStr">
        <is>
          <t>Value for money</t>
        </is>
      </c>
    </row>
    <row r="21">
      <c r="A21" s="13" t="inlineStr">
        <is>
          <t>Cover trade-off curve</t>
        </is>
      </c>
      <c r="B21" s="14" t="inlineStr">
        <is>
          <t>purchase, expiry and working capital recomputed for cover 30–210 days</t>
        </is>
      </c>
      <c r="C21" s="14" t="inlineStr">
        <is>
          <t>Policy choice</t>
        </is>
      </c>
    </row>
    <row r="23">
      <c r="A23" s="8" t="inlineStr">
        <is>
          <t>•  The model is linear in its main drivers by design; it does not attempt to forecast item-level seasonality. Use the seasonal index in the analysis workbook for peak planning.</t>
        </is>
      </c>
    </row>
    <row r="24">
      <c r="A24" s="8" t="inlineStr">
        <is>
          <t>•  Baseline facts are recomputed from the data at each refresh; only the assumptions are entered by a human.</t>
        </is>
      </c>
    </row>
    <row r="25">
      <c r="A25" s="8" t="inlineStr">
        <is>
          <t>•  The forward horizon is 12 months at the current operating level. Project end dates are handled separately in the KPI workbook (FY2026-27 projection).</t>
        </is>
      </c>
    </row>
    <row r="26">
      <c r="A26" s="8" t="inlineStr">
        <is>
          <t>•  All figures are PKR, excluding sales tax, on the same measurement basis as the dashboard.</t>
        </is>
      </c>
    </row>
  </sheetData>
  <mergeCells count="1">
    <mergeCell ref="A2:F2"/>
  </mergeCells>
  <pageMargins left="0.75" right="0.75" top="1" bottom="1" header="0.5" footer="0.5"/>
</worksheet>
</file>

<file path=xl/worksheets/sheet12.xml><?xml version="1.0" encoding="utf-8"?>
<worksheet xmlns="http://schemas.openxmlformats.org/spreadsheetml/2006/main">
  <sheetPr>
    <tabColor rgb="0072B7B2"/>
    <outlinePr summaryBelow="1" summaryRight="1"/>
    <pageSetUpPr/>
  </sheetPr>
  <dimension ref="A1:F14"/>
  <sheetViews>
    <sheetView showGridLines="0" zoomScale="90" workbookViewId="0">
      <selection activeCell="A1" sqref="A1"/>
    </sheetView>
  </sheetViews>
  <sheetFormatPr baseColWidth="8" defaultRowHeight="15"/>
  <cols>
    <col width="8" customWidth="1" min="1" max="1"/>
    <col width="60" customWidth="1" min="2" max="2"/>
    <col width="30" customWidth="1" min="3" max="3"/>
    <col width="50" customWidth="1" min="4" max="4"/>
  </cols>
  <sheetData>
    <row r="1">
      <c r="A1" s="1" t="inlineStr">
        <is>
          <t>How to refresh or change the model</t>
        </is>
      </c>
    </row>
    <row r="2">
      <c r="A2" s="2" t="inlineStr">
        <is>
          <t>The model is regenerated from configuration and data; nothing is edited inside this workbook except the live calculator.</t>
        </is>
      </c>
    </row>
    <row r="5" ht="32" customHeight="1">
      <c r="A5" s="10" t="inlineStr">
        <is>
          <t>Step</t>
        </is>
      </c>
      <c r="B5" s="10" t="inlineStr">
        <is>
          <t>Action</t>
        </is>
      </c>
      <c r="C5" s="10" t="inlineStr">
        <is>
          <t>Where</t>
        </is>
      </c>
      <c r="D5" s="10" t="inlineStr">
        <is>
          <t>Effect</t>
        </is>
      </c>
    </row>
    <row r="6">
      <c r="A6" s="13" t="inlineStr">
        <is>
          <t>1</t>
        </is>
      </c>
      <c r="B6" s="14" t="inlineStr">
        <is>
          <t>Change a threshold (status band) or an assumption</t>
        </is>
      </c>
      <c r="C6" s="13" t="inlineStr">
        <is>
          <t>config/parameters.json → thresholds / model</t>
        </is>
      </c>
      <c r="D6" s="14" t="inlineStr">
        <is>
          <t>Every status flag, commentary line and scenario recalculates</t>
        </is>
      </c>
    </row>
    <row r="7">
      <c r="A7" s="13" t="inlineStr">
        <is>
          <t>2</t>
        </is>
      </c>
      <c r="B7" s="14" t="inlineStr">
        <is>
          <t>Add or edit a scenario</t>
        </is>
      </c>
      <c r="C7" s="13" t="inlineStr">
        <is>
          <t>config/parameters.json → scenarios</t>
        </is>
      </c>
      <c r="D7" s="14" t="inlineStr">
        <is>
          <t>It appears in 03 and 04 on the next build</t>
        </is>
      </c>
    </row>
    <row r="8">
      <c r="A8" s="13" t="inlineStr">
        <is>
          <t>3</t>
        </is>
      </c>
      <c r="B8" s="14" t="inlineStr">
        <is>
          <t>Change the sensitivity ranges or outputs</t>
        </is>
      </c>
      <c r="C8" s="13" t="inlineStr">
        <is>
          <t>config/parameters.json → sensitivity</t>
        </is>
      </c>
      <c r="D8" s="14" t="inlineStr">
        <is>
          <t>06_Sensitivity is rebuilt</t>
        </is>
      </c>
    </row>
    <row r="9">
      <c r="A9" s="13" t="inlineStr">
        <is>
          <t>4</t>
        </is>
      </c>
      <c r="B9" s="14" t="inlineStr">
        <is>
          <t>Change the two-way axes</t>
        </is>
      </c>
      <c r="C9" s="13" t="inlineStr">
        <is>
          <t>config/parameters.json → twoway</t>
        </is>
      </c>
      <c r="D9" s="14" t="inlineStr">
        <is>
          <t>08_TwoWay is rebuilt</t>
        </is>
      </c>
    </row>
    <row r="10">
      <c r="A10" s="13" t="inlineStr">
        <is>
          <t>5</t>
        </is>
      </c>
      <c r="B10" s="14" t="inlineStr">
        <is>
          <t>Refresh the data</t>
        </is>
      </c>
      <c r="C10" s="13" t="inlineStr">
        <is>
          <t>scripts/generate_dataset.py (or the Oracle extract)</t>
        </is>
      </c>
      <c r="D10" s="14" t="inlineStr">
        <is>
          <t>findings.json is recomputed</t>
        </is>
      </c>
    </row>
    <row r="11">
      <c r="A11" s="13" t="inlineStr">
        <is>
          <t>6</t>
        </is>
      </c>
      <c r="B11" s="14" t="inlineStr">
        <is>
          <t>Rebuild everything</t>
        </is>
      </c>
      <c r="C11" s="13" t="inlineStr">
        <is>
          <t>python3 scripts/refresh_all.py</t>
        </is>
      </c>
      <c r="D11" s="14" t="inlineStr">
        <is>
          <t>Workbooks, guides and BRD figures regenerate</t>
        </is>
      </c>
    </row>
    <row r="12">
      <c r="A12" s="13" t="inlineStr">
        <is>
          <t>7</t>
        </is>
      </c>
      <c r="B12" s="14" t="inlineStr">
        <is>
          <t>Quick manual check only</t>
        </is>
      </c>
      <c r="C12" s="13" t="inlineStr">
        <is>
          <t>02_Live_Calculator (in Excel)</t>
        </is>
      </c>
      <c r="D12" s="14" t="inlineStr">
        <is>
          <t>Outputs recalculate without rebuilding</t>
        </is>
      </c>
    </row>
    <row r="14">
      <c r="A14" s="2" t="inlineStr">
        <is>
          <t>Governance: thresholds and assumptions are business decisions. Every change is recorded with the old value, the new value, the reason, the approver and the effective date, and applies from the next refresh without rewriting history.</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2026-10-30T00:18:16Z</dcterms:created>
  <dcterms:modified xmlns:dcterms="http://purl.org/dc/terms/" xmlns:xsi="http://www.w3.org/2001/XMLSchema-instance" xsi:type="dcterms:W3CDTF">2026-10-30T00:18:16Z</dcterms:modified>
</cp:coreProperties>
</file>